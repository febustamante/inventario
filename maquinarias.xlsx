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icolasanjoselimitada-my.sharepoint.com/personal/fbustamante_agricolasanjoselimitada_onmicrosoft_com/Documents/Escritorio/"/>
    </mc:Choice>
  </mc:AlternateContent>
  <xr:revisionPtr revIDLastSave="0" documentId="8_{78543E22-BC79-4901-9C8B-A0A570BFFC79}" xr6:coauthVersionLast="47" xr6:coauthVersionMax="47" xr10:uidLastSave="{00000000-0000-0000-0000-000000000000}"/>
  <bookViews>
    <workbookView xWindow="23880" yWindow="-120" windowWidth="20730" windowHeight="11160" activeTab="1" xr2:uid="{00000000-000D-0000-FFFF-FFFF00000000}"/>
  </bookViews>
  <sheets>
    <sheet name="CONTROL FLOTA" sheetId="1" r:id="rId1"/>
    <sheet name="DATOS" sheetId="2" r:id="rId2"/>
    <sheet name="GPS" sheetId="3" r:id="rId3"/>
    <sheet name="RESUMEN PETROLEO" sheetId="4" r:id="rId4"/>
    <sheet name="GASTOS Y MANTENCIONES" sheetId="5" r:id="rId5"/>
    <sheet name="FIJOS" sheetId="6" r:id="rId6"/>
    <sheet name="Hoja3" sheetId="7" state="hidden" r:id="rId7"/>
  </sheets>
  <definedNames>
    <definedName name="_xlnm._FilterDatabase" localSheetId="0" hidden="1">'CONTROL FLOTA'!$A$21:$T$42</definedName>
  </definedNames>
  <calcPr calcId="191029" forceFullCalc="1"/>
  <pivotCaches>
    <pivotCache cacheId="11" r:id="rId8"/>
    <pivotCache cacheId="1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X13" i="2"/>
  <c r="X22" i="2"/>
  <c r="K9" i="2"/>
  <c r="Q9" i="2" s="1"/>
  <c r="M40" i="1" s="1"/>
  <c r="A752" i="3"/>
  <c r="B752" i="3"/>
  <c r="N752" i="3"/>
  <c r="W13" i="2"/>
  <c r="Y13" i="2" s="1"/>
  <c r="W22" i="2"/>
  <c r="Y22" i="2" s="1"/>
  <c r="A22" i="1"/>
  <c r="Z2" i="2" a="1"/>
  <c r="Z2" i="2" s="1"/>
  <c r="N751" i="3"/>
  <c r="B751" i="3"/>
  <c r="A751" i="3"/>
  <c r="N750" i="3"/>
  <c r="B750" i="3"/>
  <c r="A750" i="3"/>
  <c r="N749" i="3"/>
  <c r="B749" i="3"/>
  <c r="A749" i="3"/>
  <c r="N748" i="3"/>
  <c r="B748" i="3"/>
  <c r="A748" i="3"/>
  <c r="N747" i="3"/>
  <c r="B747" i="3"/>
  <c r="A747" i="3"/>
  <c r="N746" i="3"/>
  <c r="B746" i="3"/>
  <c r="A746" i="3"/>
  <c r="N745" i="3"/>
  <c r="B745" i="3"/>
  <c r="A745" i="3"/>
  <c r="N744" i="3"/>
  <c r="B744" i="3"/>
  <c r="A744" i="3"/>
  <c r="N743" i="3"/>
  <c r="B743" i="3"/>
  <c r="A743" i="3"/>
  <c r="N742" i="3"/>
  <c r="B742" i="3"/>
  <c r="A742" i="3"/>
  <c r="N741" i="3"/>
  <c r="B741" i="3"/>
  <c r="A741" i="3"/>
  <c r="N740" i="3"/>
  <c r="B740" i="3"/>
  <c r="A740" i="3"/>
  <c r="N739" i="3"/>
  <c r="B739" i="3"/>
  <c r="A739" i="3"/>
  <c r="N738" i="3"/>
  <c r="B738" i="3"/>
  <c r="A738" i="3"/>
  <c r="N737" i="3"/>
  <c r="B737" i="3"/>
  <c r="A737" i="3"/>
  <c r="N736" i="3"/>
  <c r="B736" i="3"/>
  <c r="A736" i="3"/>
  <c r="N735" i="3"/>
  <c r="B735" i="3"/>
  <c r="A735" i="3"/>
  <c r="N734" i="3"/>
  <c r="B734" i="3"/>
  <c r="A734" i="3"/>
  <c r="N733" i="3"/>
  <c r="B733" i="3"/>
  <c r="A733" i="3"/>
  <c r="N732" i="3"/>
  <c r="B732" i="3"/>
  <c r="A732" i="3"/>
  <c r="N731" i="3"/>
  <c r="B731" i="3"/>
  <c r="A731" i="3"/>
  <c r="N730" i="3"/>
  <c r="B730" i="3"/>
  <c r="A730" i="3"/>
  <c r="N729" i="3"/>
  <c r="B729" i="3"/>
  <c r="A729" i="3"/>
  <c r="N728" i="3"/>
  <c r="B728" i="3"/>
  <c r="A728" i="3"/>
  <c r="N727" i="3"/>
  <c r="B727" i="3"/>
  <c r="A727" i="3"/>
  <c r="N726" i="3"/>
  <c r="B726" i="3"/>
  <c r="A726" i="3"/>
  <c r="N725" i="3"/>
  <c r="B725" i="3"/>
  <c r="A725" i="3"/>
  <c r="N724" i="3"/>
  <c r="B724" i="3"/>
  <c r="A724" i="3"/>
  <c r="N723" i="3"/>
  <c r="B723" i="3"/>
  <c r="A723" i="3"/>
  <c r="N722" i="3"/>
  <c r="B722" i="3"/>
  <c r="A722" i="3"/>
  <c r="N721" i="3"/>
  <c r="B721" i="3"/>
  <c r="A721" i="3"/>
  <c r="N720" i="3"/>
  <c r="B720" i="3"/>
  <c r="A720" i="3"/>
  <c r="N719" i="3"/>
  <c r="B719" i="3"/>
  <c r="A719" i="3"/>
  <c r="N718" i="3"/>
  <c r="B718" i="3"/>
  <c r="A718" i="3"/>
  <c r="N717" i="3"/>
  <c r="B717" i="3"/>
  <c r="A717" i="3"/>
  <c r="N716" i="3"/>
  <c r="B716" i="3"/>
  <c r="A716" i="3"/>
  <c r="N715" i="3"/>
  <c r="B715" i="3"/>
  <c r="A715" i="3"/>
  <c r="N714" i="3"/>
  <c r="B714" i="3"/>
  <c r="A714" i="3"/>
  <c r="N713" i="3"/>
  <c r="B713" i="3"/>
  <c r="A713" i="3"/>
  <c r="N712" i="3"/>
  <c r="B712" i="3"/>
  <c r="A712" i="3"/>
  <c r="N711" i="3"/>
  <c r="B711" i="3"/>
  <c r="A711" i="3"/>
  <c r="N710" i="3"/>
  <c r="B710" i="3"/>
  <c r="A710" i="3"/>
  <c r="N709" i="3"/>
  <c r="B709" i="3"/>
  <c r="A709" i="3"/>
  <c r="N708" i="3"/>
  <c r="B708" i="3"/>
  <c r="A708" i="3"/>
  <c r="N707" i="3"/>
  <c r="B707" i="3"/>
  <c r="A707" i="3"/>
  <c r="N706" i="3"/>
  <c r="B706" i="3"/>
  <c r="A706" i="3"/>
  <c r="N705" i="3"/>
  <c r="B705" i="3"/>
  <c r="A705" i="3"/>
  <c r="N704" i="3"/>
  <c r="B704" i="3"/>
  <c r="A704" i="3"/>
  <c r="N703" i="3"/>
  <c r="B703" i="3"/>
  <c r="A703" i="3"/>
  <c r="N702" i="3"/>
  <c r="B702" i="3"/>
  <c r="A702" i="3"/>
  <c r="N701" i="3"/>
  <c r="B701" i="3"/>
  <c r="A701" i="3"/>
  <c r="N700" i="3"/>
  <c r="B700" i="3"/>
  <c r="A700" i="3"/>
  <c r="N699" i="3"/>
  <c r="B699" i="3"/>
  <c r="A699" i="3"/>
  <c r="N698" i="3"/>
  <c r="B698" i="3"/>
  <c r="A698" i="3"/>
  <c r="N697" i="3"/>
  <c r="B697" i="3"/>
  <c r="A697" i="3"/>
  <c r="N696" i="3"/>
  <c r="B696" i="3"/>
  <c r="A696" i="3"/>
  <c r="N695" i="3"/>
  <c r="B695" i="3"/>
  <c r="A695" i="3"/>
  <c r="N694" i="3"/>
  <c r="B694" i="3"/>
  <c r="A694" i="3"/>
  <c r="N693" i="3"/>
  <c r="B693" i="3"/>
  <c r="A693" i="3"/>
  <c r="N692" i="3"/>
  <c r="B692" i="3"/>
  <c r="A692" i="3"/>
  <c r="N691" i="3"/>
  <c r="B691" i="3"/>
  <c r="A691" i="3"/>
  <c r="N690" i="3"/>
  <c r="B690" i="3"/>
  <c r="A690" i="3"/>
  <c r="N689" i="3"/>
  <c r="B689" i="3"/>
  <c r="A689" i="3"/>
  <c r="N688" i="3"/>
  <c r="B688" i="3"/>
  <c r="A688" i="3"/>
  <c r="N687" i="3"/>
  <c r="B687" i="3"/>
  <c r="A687" i="3"/>
  <c r="N686" i="3"/>
  <c r="B686" i="3"/>
  <c r="A686" i="3"/>
  <c r="N685" i="3"/>
  <c r="B685" i="3"/>
  <c r="A685" i="3"/>
  <c r="N684" i="3"/>
  <c r="B684" i="3"/>
  <c r="A684" i="3"/>
  <c r="N683" i="3"/>
  <c r="B683" i="3"/>
  <c r="A683" i="3"/>
  <c r="N682" i="3"/>
  <c r="B682" i="3"/>
  <c r="A682" i="3"/>
  <c r="N681" i="3"/>
  <c r="B681" i="3"/>
  <c r="A681" i="3"/>
  <c r="N680" i="3"/>
  <c r="B680" i="3"/>
  <c r="A680" i="3"/>
  <c r="N679" i="3"/>
  <c r="B679" i="3"/>
  <c r="A679" i="3"/>
  <c r="N678" i="3"/>
  <c r="B678" i="3"/>
  <c r="A678" i="3"/>
  <c r="N677" i="3"/>
  <c r="B677" i="3"/>
  <c r="A677" i="3"/>
  <c r="N676" i="3"/>
  <c r="B676" i="3"/>
  <c r="A676" i="3"/>
  <c r="N675" i="3"/>
  <c r="B675" i="3"/>
  <c r="A675" i="3"/>
  <c r="N674" i="3"/>
  <c r="B674" i="3"/>
  <c r="A674" i="3"/>
  <c r="N673" i="3"/>
  <c r="B673" i="3"/>
  <c r="A673" i="3"/>
  <c r="N672" i="3"/>
  <c r="B672" i="3"/>
  <c r="A672" i="3"/>
  <c r="N671" i="3"/>
  <c r="B671" i="3"/>
  <c r="A671" i="3"/>
  <c r="N670" i="3"/>
  <c r="B670" i="3"/>
  <c r="A670" i="3"/>
  <c r="N669" i="3"/>
  <c r="B669" i="3"/>
  <c r="A669" i="3"/>
  <c r="N668" i="3"/>
  <c r="B668" i="3"/>
  <c r="A668" i="3"/>
  <c r="N667" i="3"/>
  <c r="B667" i="3"/>
  <c r="A667" i="3"/>
  <c r="N666" i="3"/>
  <c r="B666" i="3"/>
  <c r="A666" i="3"/>
  <c r="N665" i="3"/>
  <c r="B665" i="3"/>
  <c r="A665" i="3"/>
  <c r="N664" i="3"/>
  <c r="B664" i="3"/>
  <c r="A664" i="3"/>
  <c r="N663" i="3"/>
  <c r="B663" i="3"/>
  <c r="A663" i="3"/>
  <c r="N662" i="3"/>
  <c r="B662" i="3"/>
  <c r="A662" i="3"/>
  <c r="N661" i="3"/>
  <c r="B661" i="3"/>
  <c r="A661" i="3"/>
  <c r="N660" i="3"/>
  <c r="B660" i="3"/>
  <c r="A660" i="3"/>
  <c r="N659" i="3"/>
  <c r="B659" i="3"/>
  <c r="A659" i="3"/>
  <c r="N658" i="3"/>
  <c r="B658" i="3"/>
  <c r="A658" i="3"/>
  <c r="N657" i="3"/>
  <c r="B657" i="3"/>
  <c r="A657" i="3"/>
  <c r="N656" i="3"/>
  <c r="B656" i="3"/>
  <c r="A656" i="3"/>
  <c r="N655" i="3"/>
  <c r="B655" i="3"/>
  <c r="A655" i="3"/>
  <c r="N654" i="3"/>
  <c r="B654" i="3"/>
  <c r="A654" i="3"/>
  <c r="N653" i="3"/>
  <c r="B653" i="3"/>
  <c r="A653" i="3"/>
  <c r="N652" i="3"/>
  <c r="B652" i="3"/>
  <c r="A652" i="3"/>
  <c r="N651" i="3"/>
  <c r="B651" i="3"/>
  <c r="A651" i="3"/>
  <c r="N650" i="3"/>
  <c r="B650" i="3"/>
  <c r="A650" i="3"/>
  <c r="N649" i="3"/>
  <c r="B649" i="3"/>
  <c r="A649" i="3"/>
  <c r="N648" i="3"/>
  <c r="B648" i="3"/>
  <c r="A648" i="3"/>
  <c r="N647" i="3"/>
  <c r="B647" i="3"/>
  <c r="A647" i="3"/>
  <c r="N646" i="3"/>
  <c r="B646" i="3"/>
  <c r="A646" i="3"/>
  <c r="N645" i="3"/>
  <c r="B645" i="3"/>
  <c r="A645" i="3"/>
  <c r="N644" i="3"/>
  <c r="B644" i="3"/>
  <c r="A644" i="3"/>
  <c r="N643" i="3"/>
  <c r="B643" i="3"/>
  <c r="A643" i="3"/>
  <c r="N642" i="3"/>
  <c r="B642" i="3"/>
  <c r="A642" i="3"/>
  <c r="N641" i="3"/>
  <c r="B641" i="3"/>
  <c r="A641" i="3"/>
  <c r="N640" i="3"/>
  <c r="B640" i="3"/>
  <c r="A640" i="3"/>
  <c r="N639" i="3"/>
  <c r="B639" i="3"/>
  <c r="A639" i="3"/>
  <c r="N638" i="3"/>
  <c r="B638" i="3"/>
  <c r="A638" i="3"/>
  <c r="N637" i="3"/>
  <c r="B637" i="3"/>
  <c r="A637" i="3"/>
  <c r="N636" i="3"/>
  <c r="B636" i="3"/>
  <c r="A636" i="3"/>
  <c r="N635" i="3"/>
  <c r="B635" i="3"/>
  <c r="A635" i="3"/>
  <c r="N634" i="3"/>
  <c r="B634" i="3"/>
  <c r="A634" i="3"/>
  <c r="N633" i="3"/>
  <c r="B633" i="3"/>
  <c r="A633" i="3"/>
  <c r="N632" i="3"/>
  <c r="B632" i="3"/>
  <c r="A632" i="3"/>
  <c r="N631" i="3"/>
  <c r="B631" i="3"/>
  <c r="A631" i="3"/>
  <c r="N630" i="3"/>
  <c r="B630" i="3"/>
  <c r="A630" i="3"/>
  <c r="N629" i="3"/>
  <c r="B629" i="3"/>
  <c r="A629" i="3"/>
  <c r="N628" i="3"/>
  <c r="B628" i="3"/>
  <c r="A628" i="3"/>
  <c r="N627" i="3"/>
  <c r="B627" i="3"/>
  <c r="A627" i="3"/>
  <c r="N626" i="3"/>
  <c r="B626" i="3"/>
  <c r="A626" i="3"/>
  <c r="N625" i="3"/>
  <c r="B625" i="3"/>
  <c r="A625" i="3"/>
  <c r="N624" i="3"/>
  <c r="B624" i="3"/>
  <c r="A624" i="3"/>
  <c r="N623" i="3"/>
  <c r="B623" i="3"/>
  <c r="A623" i="3"/>
  <c r="N622" i="3"/>
  <c r="B622" i="3"/>
  <c r="A622" i="3"/>
  <c r="N621" i="3"/>
  <c r="B621" i="3"/>
  <c r="A621" i="3"/>
  <c r="N620" i="3"/>
  <c r="B620" i="3"/>
  <c r="A620" i="3"/>
  <c r="N619" i="3"/>
  <c r="B619" i="3"/>
  <c r="A619" i="3"/>
  <c r="N618" i="3"/>
  <c r="B618" i="3"/>
  <c r="A618" i="3"/>
  <c r="N617" i="3"/>
  <c r="B617" i="3"/>
  <c r="A617" i="3"/>
  <c r="N616" i="3"/>
  <c r="B616" i="3"/>
  <c r="A616" i="3"/>
  <c r="N615" i="3"/>
  <c r="B615" i="3"/>
  <c r="A615" i="3"/>
  <c r="N614" i="3"/>
  <c r="B614" i="3"/>
  <c r="A614" i="3"/>
  <c r="N613" i="3"/>
  <c r="B613" i="3"/>
  <c r="A613" i="3"/>
  <c r="N612" i="3"/>
  <c r="B612" i="3"/>
  <c r="A612" i="3"/>
  <c r="N611" i="3"/>
  <c r="B611" i="3"/>
  <c r="A611" i="3"/>
  <c r="N610" i="3"/>
  <c r="B610" i="3"/>
  <c r="A610" i="3"/>
  <c r="N609" i="3"/>
  <c r="B609" i="3"/>
  <c r="A609" i="3"/>
  <c r="N608" i="3"/>
  <c r="B608" i="3"/>
  <c r="A608" i="3"/>
  <c r="N607" i="3"/>
  <c r="B607" i="3"/>
  <c r="A607" i="3"/>
  <c r="N606" i="3"/>
  <c r="B606" i="3"/>
  <c r="A606" i="3"/>
  <c r="N605" i="3"/>
  <c r="B605" i="3"/>
  <c r="A605" i="3"/>
  <c r="N604" i="3"/>
  <c r="B604" i="3"/>
  <c r="A604" i="3"/>
  <c r="N603" i="3"/>
  <c r="B603" i="3"/>
  <c r="A603" i="3"/>
  <c r="N602" i="3"/>
  <c r="B602" i="3"/>
  <c r="A602" i="3"/>
  <c r="N601" i="3"/>
  <c r="B601" i="3"/>
  <c r="A601" i="3"/>
  <c r="N600" i="3"/>
  <c r="B600" i="3"/>
  <c r="A600" i="3"/>
  <c r="N599" i="3"/>
  <c r="B599" i="3"/>
  <c r="A599" i="3"/>
  <c r="N598" i="3"/>
  <c r="B598" i="3"/>
  <c r="A598" i="3"/>
  <c r="N597" i="3"/>
  <c r="B597" i="3"/>
  <c r="A597" i="3"/>
  <c r="N596" i="3"/>
  <c r="B596" i="3"/>
  <c r="A596" i="3"/>
  <c r="N595" i="3"/>
  <c r="B595" i="3"/>
  <c r="A595" i="3"/>
  <c r="N594" i="3"/>
  <c r="B594" i="3"/>
  <c r="A594" i="3"/>
  <c r="N593" i="3"/>
  <c r="B593" i="3"/>
  <c r="A593" i="3"/>
  <c r="N592" i="3"/>
  <c r="B592" i="3"/>
  <c r="A592" i="3"/>
  <c r="N591" i="3"/>
  <c r="B591" i="3"/>
  <c r="A591" i="3"/>
  <c r="N590" i="3"/>
  <c r="B590" i="3"/>
  <c r="A590" i="3"/>
  <c r="N589" i="3"/>
  <c r="B589" i="3"/>
  <c r="A589" i="3"/>
  <c r="N588" i="3"/>
  <c r="B588" i="3"/>
  <c r="A588" i="3"/>
  <c r="N587" i="3"/>
  <c r="B587" i="3"/>
  <c r="A587" i="3"/>
  <c r="N586" i="3"/>
  <c r="B586" i="3"/>
  <c r="A586" i="3"/>
  <c r="N585" i="3"/>
  <c r="B585" i="3"/>
  <c r="A585" i="3"/>
  <c r="N584" i="3"/>
  <c r="B584" i="3"/>
  <c r="A584" i="3"/>
  <c r="N583" i="3"/>
  <c r="B583" i="3"/>
  <c r="A583" i="3"/>
  <c r="N582" i="3"/>
  <c r="B582" i="3"/>
  <c r="A582" i="3"/>
  <c r="N581" i="3"/>
  <c r="B581" i="3"/>
  <c r="A581" i="3"/>
  <c r="N580" i="3"/>
  <c r="B580" i="3"/>
  <c r="A580" i="3"/>
  <c r="N579" i="3"/>
  <c r="B579" i="3"/>
  <c r="A579" i="3"/>
  <c r="N578" i="3"/>
  <c r="B578" i="3"/>
  <c r="A578" i="3"/>
  <c r="N577" i="3"/>
  <c r="B577" i="3"/>
  <c r="A577" i="3"/>
  <c r="N576" i="3"/>
  <c r="B576" i="3"/>
  <c r="A576" i="3"/>
  <c r="N575" i="3"/>
  <c r="B575" i="3"/>
  <c r="A575" i="3"/>
  <c r="N574" i="3"/>
  <c r="B574" i="3"/>
  <c r="A574" i="3"/>
  <c r="N573" i="3"/>
  <c r="B573" i="3"/>
  <c r="A573" i="3"/>
  <c r="N572" i="3"/>
  <c r="B572" i="3"/>
  <c r="A572" i="3"/>
  <c r="N571" i="3"/>
  <c r="B571" i="3"/>
  <c r="A571" i="3"/>
  <c r="N570" i="3"/>
  <c r="B570" i="3"/>
  <c r="A570" i="3"/>
  <c r="N569" i="3"/>
  <c r="B569" i="3"/>
  <c r="A569" i="3"/>
  <c r="N568" i="3"/>
  <c r="B568" i="3"/>
  <c r="A568" i="3"/>
  <c r="N567" i="3"/>
  <c r="B567" i="3"/>
  <c r="A567" i="3"/>
  <c r="N566" i="3"/>
  <c r="B566" i="3"/>
  <c r="A566" i="3"/>
  <c r="N565" i="3"/>
  <c r="B565" i="3"/>
  <c r="A565" i="3"/>
  <c r="N564" i="3"/>
  <c r="B564" i="3"/>
  <c r="A564" i="3"/>
  <c r="N563" i="3"/>
  <c r="B563" i="3"/>
  <c r="A563" i="3"/>
  <c r="N562" i="3"/>
  <c r="B562" i="3"/>
  <c r="A562" i="3"/>
  <c r="N561" i="3"/>
  <c r="B561" i="3"/>
  <c r="A561" i="3"/>
  <c r="N560" i="3"/>
  <c r="B560" i="3"/>
  <c r="A560" i="3"/>
  <c r="N559" i="3"/>
  <c r="B559" i="3"/>
  <c r="A559" i="3"/>
  <c r="N558" i="3"/>
  <c r="B558" i="3"/>
  <c r="A558" i="3"/>
  <c r="N557" i="3"/>
  <c r="B557" i="3"/>
  <c r="A557" i="3"/>
  <c r="N556" i="3"/>
  <c r="B556" i="3"/>
  <c r="A556" i="3"/>
  <c r="N555" i="3"/>
  <c r="B555" i="3"/>
  <c r="A555" i="3"/>
  <c r="N554" i="3"/>
  <c r="B554" i="3"/>
  <c r="A554" i="3"/>
  <c r="N553" i="3"/>
  <c r="B553" i="3"/>
  <c r="A553" i="3"/>
  <c r="N552" i="3"/>
  <c r="B552" i="3"/>
  <c r="A552" i="3"/>
  <c r="N551" i="3"/>
  <c r="B551" i="3"/>
  <c r="A551" i="3"/>
  <c r="N550" i="3"/>
  <c r="B550" i="3"/>
  <c r="A550" i="3"/>
  <c r="N549" i="3"/>
  <c r="B549" i="3"/>
  <c r="A549" i="3"/>
  <c r="N548" i="3"/>
  <c r="B548" i="3"/>
  <c r="A548" i="3"/>
  <c r="N547" i="3"/>
  <c r="B547" i="3"/>
  <c r="A547" i="3"/>
  <c r="N546" i="3"/>
  <c r="B546" i="3"/>
  <c r="A546" i="3"/>
  <c r="N545" i="3"/>
  <c r="B545" i="3"/>
  <c r="A545" i="3"/>
  <c r="N544" i="3"/>
  <c r="B544" i="3"/>
  <c r="A544" i="3"/>
  <c r="N543" i="3"/>
  <c r="B543" i="3"/>
  <c r="A543" i="3"/>
  <c r="N542" i="3"/>
  <c r="B542" i="3"/>
  <c r="A542" i="3"/>
  <c r="N541" i="3"/>
  <c r="B541" i="3"/>
  <c r="A541" i="3"/>
  <c r="N540" i="3"/>
  <c r="B540" i="3"/>
  <c r="A540" i="3"/>
  <c r="N539" i="3"/>
  <c r="B539" i="3"/>
  <c r="A539" i="3"/>
  <c r="N538" i="3"/>
  <c r="B538" i="3"/>
  <c r="A538" i="3"/>
  <c r="N537" i="3"/>
  <c r="B537" i="3"/>
  <c r="A537" i="3"/>
  <c r="N536" i="3"/>
  <c r="B536" i="3"/>
  <c r="A536" i="3"/>
  <c r="N535" i="3"/>
  <c r="B535" i="3"/>
  <c r="A535" i="3"/>
  <c r="N534" i="3"/>
  <c r="B534" i="3"/>
  <c r="A534" i="3"/>
  <c r="N533" i="3"/>
  <c r="B533" i="3"/>
  <c r="A533" i="3"/>
  <c r="N532" i="3"/>
  <c r="B532" i="3"/>
  <c r="A532" i="3"/>
  <c r="N531" i="3"/>
  <c r="B531" i="3"/>
  <c r="A531" i="3"/>
  <c r="N530" i="3"/>
  <c r="B530" i="3"/>
  <c r="A530" i="3"/>
  <c r="N529" i="3"/>
  <c r="B529" i="3"/>
  <c r="A529" i="3"/>
  <c r="N528" i="3"/>
  <c r="B528" i="3"/>
  <c r="A528" i="3"/>
  <c r="N527" i="3"/>
  <c r="B527" i="3"/>
  <c r="A527" i="3"/>
  <c r="N526" i="3"/>
  <c r="B526" i="3"/>
  <c r="A526" i="3"/>
  <c r="N525" i="3"/>
  <c r="B525" i="3"/>
  <c r="A525" i="3"/>
  <c r="N524" i="3"/>
  <c r="B524" i="3"/>
  <c r="A524" i="3"/>
  <c r="N523" i="3"/>
  <c r="B523" i="3"/>
  <c r="A523" i="3"/>
  <c r="N522" i="3"/>
  <c r="B522" i="3"/>
  <c r="A522" i="3"/>
  <c r="N521" i="3"/>
  <c r="B521" i="3"/>
  <c r="A521" i="3"/>
  <c r="N520" i="3"/>
  <c r="B520" i="3"/>
  <c r="A520" i="3"/>
  <c r="N519" i="3"/>
  <c r="B519" i="3"/>
  <c r="A519" i="3"/>
  <c r="N518" i="3"/>
  <c r="B518" i="3"/>
  <c r="A518" i="3"/>
  <c r="N517" i="3"/>
  <c r="B517" i="3"/>
  <c r="A517" i="3"/>
  <c r="N516" i="3"/>
  <c r="B516" i="3"/>
  <c r="A516" i="3"/>
  <c r="N515" i="3"/>
  <c r="B515" i="3"/>
  <c r="A515" i="3"/>
  <c r="N514" i="3"/>
  <c r="B514" i="3"/>
  <c r="A514" i="3"/>
  <c r="N513" i="3"/>
  <c r="B513" i="3"/>
  <c r="A513" i="3"/>
  <c r="N512" i="3"/>
  <c r="B512" i="3"/>
  <c r="A512" i="3"/>
  <c r="N511" i="3"/>
  <c r="B511" i="3"/>
  <c r="A511" i="3"/>
  <c r="N510" i="3"/>
  <c r="B510" i="3"/>
  <c r="A510" i="3"/>
  <c r="N509" i="3"/>
  <c r="B509" i="3"/>
  <c r="A509" i="3"/>
  <c r="N508" i="3"/>
  <c r="B508" i="3"/>
  <c r="A508" i="3"/>
  <c r="N507" i="3"/>
  <c r="B507" i="3"/>
  <c r="A507" i="3"/>
  <c r="N506" i="3"/>
  <c r="B506" i="3"/>
  <c r="A506" i="3"/>
  <c r="N505" i="3"/>
  <c r="B505" i="3"/>
  <c r="A505" i="3"/>
  <c r="N504" i="3"/>
  <c r="B504" i="3"/>
  <c r="A504" i="3"/>
  <c r="N503" i="3"/>
  <c r="B503" i="3"/>
  <c r="A503" i="3"/>
  <c r="N502" i="3"/>
  <c r="B502" i="3"/>
  <c r="A502" i="3"/>
  <c r="N501" i="3"/>
  <c r="B501" i="3"/>
  <c r="A501" i="3"/>
  <c r="N500" i="3"/>
  <c r="B500" i="3"/>
  <c r="A500" i="3"/>
  <c r="N499" i="3"/>
  <c r="B499" i="3"/>
  <c r="A499" i="3"/>
  <c r="N498" i="3"/>
  <c r="B498" i="3"/>
  <c r="A498" i="3"/>
  <c r="N497" i="3"/>
  <c r="B497" i="3"/>
  <c r="A497" i="3"/>
  <c r="N496" i="3"/>
  <c r="B496" i="3"/>
  <c r="A496" i="3"/>
  <c r="N495" i="3"/>
  <c r="B495" i="3"/>
  <c r="A495" i="3"/>
  <c r="N494" i="3"/>
  <c r="B494" i="3"/>
  <c r="A494" i="3"/>
  <c r="N493" i="3"/>
  <c r="B493" i="3"/>
  <c r="A493" i="3"/>
  <c r="N492" i="3"/>
  <c r="B492" i="3"/>
  <c r="A492" i="3"/>
  <c r="N491" i="3"/>
  <c r="B491" i="3"/>
  <c r="A491" i="3"/>
  <c r="N490" i="3"/>
  <c r="B490" i="3"/>
  <c r="A490" i="3"/>
  <c r="N489" i="3"/>
  <c r="B489" i="3"/>
  <c r="A489" i="3"/>
  <c r="N488" i="3"/>
  <c r="B488" i="3"/>
  <c r="A488" i="3"/>
  <c r="N487" i="3"/>
  <c r="B487" i="3"/>
  <c r="A487" i="3"/>
  <c r="N486" i="3"/>
  <c r="B486" i="3"/>
  <c r="A486" i="3"/>
  <c r="N485" i="3"/>
  <c r="B485" i="3"/>
  <c r="A485" i="3"/>
  <c r="N484" i="3"/>
  <c r="B484" i="3"/>
  <c r="A484" i="3"/>
  <c r="N483" i="3"/>
  <c r="B483" i="3"/>
  <c r="A483" i="3"/>
  <c r="N482" i="3"/>
  <c r="B482" i="3"/>
  <c r="A482" i="3"/>
  <c r="N481" i="3"/>
  <c r="B481" i="3"/>
  <c r="A481" i="3"/>
  <c r="N480" i="3"/>
  <c r="B480" i="3"/>
  <c r="A480" i="3"/>
  <c r="N479" i="3"/>
  <c r="B479" i="3"/>
  <c r="A479" i="3"/>
  <c r="N478" i="3"/>
  <c r="B478" i="3"/>
  <c r="A478" i="3"/>
  <c r="N477" i="3"/>
  <c r="B477" i="3"/>
  <c r="A477" i="3"/>
  <c r="N476" i="3"/>
  <c r="B476" i="3"/>
  <c r="A476" i="3"/>
  <c r="N475" i="3"/>
  <c r="B475" i="3"/>
  <c r="A475" i="3"/>
  <c r="N474" i="3"/>
  <c r="B474" i="3"/>
  <c r="A474" i="3"/>
  <c r="N473" i="3"/>
  <c r="B473" i="3"/>
  <c r="A473" i="3"/>
  <c r="N472" i="3"/>
  <c r="B472" i="3"/>
  <c r="A472" i="3"/>
  <c r="N471" i="3"/>
  <c r="B471" i="3"/>
  <c r="A471" i="3"/>
  <c r="N470" i="3"/>
  <c r="B470" i="3"/>
  <c r="A470" i="3"/>
  <c r="N469" i="3"/>
  <c r="B469" i="3"/>
  <c r="A469" i="3"/>
  <c r="N468" i="3"/>
  <c r="B468" i="3"/>
  <c r="A468" i="3"/>
  <c r="N467" i="3"/>
  <c r="B467" i="3"/>
  <c r="A467" i="3"/>
  <c r="N466" i="3"/>
  <c r="B466" i="3"/>
  <c r="A466" i="3"/>
  <c r="N465" i="3"/>
  <c r="B465" i="3"/>
  <c r="A465" i="3"/>
  <c r="N464" i="3"/>
  <c r="B464" i="3"/>
  <c r="A464" i="3"/>
  <c r="N463" i="3"/>
  <c r="B463" i="3"/>
  <c r="A463" i="3"/>
  <c r="N462" i="3"/>
  <c r="B462" i="3"/>
  <c r="A462" i="3"/>
  <c r="N461" i="3"/>
  <c r="B461" i="3"/>
  <c r="A461" i="3"/>
  <c r="N460" i="3"/>
  <c r="B460" i="3"/>
  <c r="A460" i="3"/>
  <c r="N459" i="3"/>
  <c r="B459" i="3"/>
  <c r="A459" i="3"/>
  <c r="N458" i="3"/>
  <c r="B458" i="3"/>
  <c r="A458" i="3"/>
  <c r="N457" i="3"/>
  <c r="B457" i="3"/>
  <c r="A457" i="3"/>
  <c r="N456" i="3"/>
  <c r="B456" i="3"/>
  <c r="A456" i="3"/>
  <c r="N455" i="3"/>
  <c r="B455" i="3"/>
  <c r="A455" i="3"/>
  <c r="N454" i="3"/>
  <c r="B454" i="3"/>
  <c r="A454" i="3"/>
  <c r="N453" i="3"/>
  <c r="B453" i="3"/>
  <c r="A453" i="3"/>
  <c r="N452" i="3"/>
  <c r="B452" i="3"/>
  <c r="A452" i="3"/>
  <c r="N451" i="3"/>
  <c r="B451" i="3"/>
  <c r="A451" i="3"/>
  <c r="N450" i="3"/>
  <c r="B450" i="3"/>
  <c r="A450" i="3"/>
  <c r="N449" i="3"/>
  <c r="B449" i="3"/>
  <c r="A449" i="3"/>
  <c r="N448" i="3"/>
  <c r="B448" i="3"/>
  <c r="A448" i="3"/>
  <c r="N447" i="3"/>
  <c r="B447" i="3"/>
  <c r="A447" i="3"/>
  <c r="N446" i="3"/>
  <c r="B446" i="3"/>
  <c r="A446" i="3"/>
  <c r="N445" i="3"/>
  <c r="B445" i="3"/>
  <c r="A445" i="3"/>
  <c r="N444" i="3"/>
  <c r="B444" i="3"/>
  <c r="A444" i="3"/>
  <c r="N443" i="3"/>
  <c r="B443" i="3"/>
  <c r="A443" i="3"/>
  <c r="N442" i="3"/>
  <c r="B442" i="3"/>
  <c r="A442" i="3"/>
  <c r="N441" i="3"/>
  <c r="B441" i="3"/>
  <c r="A441" i="3"/>
  <c r="N440" i="3"/>
  <c r="B440" i="3"/>
  <c r="A440" i="3"/>
  <c r="N439" i="3"/>
  <c r="B439" i="3"/>
  <c r="A439" i="3"/>
  <c r="N438" i="3"/>
  <c r="B438" i="3"/>
  <c r="A438" i="3"/>
  <c r="N437" i="3"/>
  <c r="B437" i="3"/>
  <c r="A437" i="3"/>
  <c r="N436" i="3"/>
  <c r="B436" i="3"/>
  <c r="A436" i="3"/>
  <c r="N435" i="3"/>
  <c r="B435" i="3"/>
  <c r="A435" i="3"/>
  <c r="N434" i="3"/>
  <c r="B434" i="3"/>
  <c r="A434" i="3"/>
  <c r="N433" i="3"/>
  <c r="B433" i="3"/>
  <c r="A433" i="3"/>
  <c r="N432" i="3"/>
  <c r="B432" i="3"/>
  <c r="A432" i="3"/>
  <c r="N431" i="3"/>
  <c r="B431" i="3"/>
  <c r="A431" i="3"/>
  <c r="N430" i="3"/>
  <c r="B430" i="3"/>
  <c r="A430" i="3"/>
  <c r="N429" i="3"/>
  <c r="B429" i="3"/>
  <c r="A429" i="3"/>
  <c r="N428" i="3"/>
  <c r="B428" i="3"/>
  <c r="A428" i="3"/>
  <c r="N427" i="3"/>
  <c r="B427" i="3"/>
  <c r="A427" i="3"/>
  <c r="N426" i="3"/>
  <c r="B426" i="3"/>
  <c r="A426" i="3"/>
  <c r="N425" i="3"/>
  <c r="B425" i="3"/>
  <c r="A425" i="3"/>
  <c r="N424" i="3"/>
  <c r="B424" i="3"/>
  <c r="A424" i="3"/>
  <c r="N423" i="3"/>
  <c r="B423" i="3"/>
  <c r="A423" i="3"/>
  <c r="N422" i="3"/>
  <c r="B422" i="3"/>
  <c r="A422" i="3"/>
  <c r="N421" i="3"/>
  <c r="B421" i="3"/>
  <c r="A421" i="3"/>
  <c r="N420" i="3"/>
  <c r="B420" i="3"/>
  <c r="A420" i="3"/>
  <c r="N419" i="3"/>
  <c r="B419" i="3"/>
  <c r="A419" i="3"/>
  <c r="N418" i="3"/>
  <c r="B418" i="3"/>
  <c r="A418" i="3"/>
  <c r="N417" i="3"/>
  <c r="B417" i="3"/>
  <c r="A417" i="3"/>
  <c r="N416" i="3"/>
  <c r="B416" i="3"/>
  <c r="A416" i="3"/>
  <c r="N415" i="3"/>
  <c r="B415" i="3"/>
  <c r="A415" i="3"/>
  <c r="N414" i="3"/>
  <c r="B414" i="3"/>
  <c r="A414" i="3"/>
  <c r="N413" i="3"/>
  <c r="B413" i="3"/>
  <c r="A413" i="3"/>
  <c r="N412" i="3"/>
  <c r="B412" i="3"/>
  <c r="A412" i="3"/>
  <c r="N411" i="3"/>
  <c r="B411" i="3"/>
  <c r="A411" i="3"/>
  <c r="N410" i="3"/>
  <c r="B410" i="3"/>
  <c r="A410" i="3"/>
  <c r="N409" i="3"/>
  <c r="B409" i="3"/>
  <c r="A409" i="3"/>
  <c r="N408" i="3"/>
  <c r="B408" i="3"/>
  <c r="A408" i="3"/>
  <c r="N407" i="3"/>
  <c r="B407" i="3"/>
  <c r="A407" i="3"/>
  <c r="N406" i="3"/>
  <c r="B406" i="3"/>
  <c r="A406" i="3"/>
  <c r="N405" i="3"/>
  <c r="B405" i="3"/>
  <c r="A405" i="3"/>
  <c r="N404" i="3"/>
  <c r="B404" i="3"/>
  <c r="A404" i="3"/>
  <c r="N403" i="3"/>
  <c r="B403" i="3"/>
  <c r="A403" i="3"/>
  <c r="N402" i="3"/>
  <c r="B402" i="3"/>
  <c r="A402" i="3"/>
  <c r="N401" i="3"/>
  <c r="B401" i="3"/>
  <c r="A401" i="3"/>
  <c r="N400" i="3"/>
  <c r="B400" i="3"/>
  <c r="A400" i="3"/>
  <c r="N399" i="3"/>
  <c r="B399" i="3"/>
  <c r="A399" i="3"/>
  <c r="N398" i="3"/>
  <c r="B398" i="3"/>
  <c r="A398" i="3"/>
  <c r="N397" i="3"/>
  <c r="B397" i="3"/>
  <c r="A397" i="3"/>
  <c r="N396" i="3"/>
  <c r="B396" i="3"/>
  <c r="A396" i="3"/>
  <c r="N395" i="3"/>
  <c r="B395" i="3"/>
  <c r="A395" i="3"/>
  <c r="N394" i="3"/>
  <c r="B394" i="3"/>
  <c r="A394" i="3"/>
  <c r="N393" i="3"/>
  <c r="B393" i="3"/>
  <c r="A393" i="3"/>
  <c r="N392" i="3"/>
  <c r="B392" i="3"/>
  <c r="A392" i="3"/>
  <c r="N391" i="3"/>
  <c r="B391" i="3"/>
  <c r="A391" i="3"/>
  <c r="N390" i="3"/>
  <c r="B390" i="3"/>
  <c r="A390" i="3"/>
  <c r="N389" i="3"/>
  <c r="B389" i="3"/>
  <c r="A389" i="3"/>
  <c r="N388" i="3"/>
  <c r="B388" i="3"/>
  <c r="A388" i="3"/>
  <c r="N387" i="3"/>
  <c r="B387" i="3"/>
  <c r="A387" i="3"/>
  <c r="N386" i="3"/>
  <c r="B386" i="3"/>
  <c r="A386" i="3"/>
  <c r="N385" i="3"/>
  <c r="B385" i="3"/>
  <c r="A385" i="3"/>
  <c r="N384" i="3"/>
  <c r="B384" i="3"/>
  <c r="A384" i="3"/>
  <c r="N383" i="3"/>
  <c r="B383" i="3"/>
  <c r="A383" i="3"/>
  <c r="N382" i="3"/>
  <c r="B382" i="3"/>
  <c r="A382" i="3"/>
  <c r="N381" i="3"/>
  <c r="B381" i="3"/>
  <c r="A381" i="3"/>
  <c r="N380" i="3"/>
  <c r="B380" i="3"/>
  <c r="A380" i="3"/>
  <c r="N379" i="3"/>
  <c r="B379" i="3"/>
  <c r="A379" i="3"/>
  <c r="N378" i="3"/>
  <c r="B378" i="3"/>
  <c r="A378" i="3"/>
  <c r="N377" i="3"/>
  <c r="B377" i="3"/>
  <c r="A377" i="3"/>
  <c r="N376" i="3"/>
  <c r="B376" i="3"/>
  <c r="A376" i="3"/>
  <c r="N375" i="3"/>
  <c r="B375" i="3"/>
  <c r="A375" i="3"/>
  <c r="N374" i="3"/>
  <c r="B374" i="3"/>
  <c r="A374" i="3"/>
  <c r="N373" i="3"/>
  <c r="B373" i="3"/>
  <c r="A373" i="3"/>
  <c r="N372" i="3"/>
  <c r="B372" i="3"/>
  <c r="A372" i="3"/>
  <c r="N371" i="3"/>
  <c r="B371" i="3"/>
  <c r="A371" i="3"/>
  <c r="N370" i="3"/>
  <c r="B370" i="3"/>
  <c r="A370" i="3"/>
  <c r="N369" i="3"/>
  <c r="B369" i="3"/>
  <c r="A369" i="3"/>
  <c r="N368" i="3"/>
  <c r="B368" i="3"/>
  <c r="A368" i="3"/>
  <c r="N367" i="3"/>
  <c r="B367" i="3"/>
  <c r="A367" i="3"/>
  <c r="N366" i="3"/>
  <c r="B366" i="3"/>
  <c r="A366" i="3"/>
  <c r="N365" i="3"/>
  <c r="B365" i="3"/>
  <c r="A365" i="3"/>
  <c r="N364" i="3"/>
  <c r="B364" i="3"/>
  <c r="A364" i="3"/>
  <c r="N363" i="3"/>
  <c r="B363" i="3"/>
  <c r="A363" i="3"/>
  <c r="N362" i="3"/>
  <c r="B362" i="3"/>
  <c r="A362" i="3"/>
  <c r="N361" i="3"/>
  <c r="B361" i="3"/>
  <c r="A361" i="3"/>
  <c r="N360" i="3"/>
  <c r="B360" i="3"/>
  <c r="A360" i="3"/>
  <c r="N359" i="3"/>
  <c r="B359" i="3"/>
  <c r="A359" i="3"/>
  <c r="N358" i="3"/>
  <c r="B358" i="3"/>
  <c r="A358" i="3"/>
  <c r="N357" i="3"/>
  <c r="B357" i="3"/>
  <c r="A357" i="3"/>
  <c r="N356" i="3"/>
  <c r="B356" i="3"/>
  <c r="A356" i="3"/>
  <c r="N355" i="3"/>
  <c r="B355" i="3"/>
  <c r="A355" i="3"/>
  <c r="N354" i="3"/>
  <c r="B354" i="3"/>
  <c r="A354" i="3"/>
  <c r="N353" i="3"/>
  <c r="B353" i="3"/>
  <c r="A353" i="3"/>
  <c r="N352" i="3"/>
  <c r="B352" i="3"/>
  <c r="A352" i="3"/>
  <c r="N351" i="3"/>
  <c r="B351" i="3"/>
  <c r="A351" i="3"/>
  <c r="N350" i="3"/>
  <c r="B350" i="3"/>
  <c r="A350" i="3"/>
  <c r="N349" i="3"/>
  <c r="B349" i="3"/>
  <c r="A349" i="3"/>
  <c r="N348" i="3"/>
  <c r="B348" i="3"/>
  <c r="A348" i="3"/>
  <c r="N347" i="3"/>
  <c r="B347" i="3"/>
  <c r="A347" i="3"/>
  <c r="N346" i="3"/>
  <c r="B346" i="3"/>
  <c r="A346" i="3"/>
  <c r="N345" i="3"/>
  <c r="B345" i="3"/>
  <c r="A345" i="3"/>
  <c r="N344" i="3"/>
  <c r="B344" i="3"/>
  <c r="A344" i="3"/>
  <c r="N343" i="3"/>
  <c r="B343" i="3"/>
  <c r="A343" i="3"/>
  <c r="N342" i="3"/>
  <c r="B342" i="3"/>
  <c r="A342" i="3"/>
  <c r="N341" i="3"/>
  <c r="B341" i="3"/>
  <c r="A341" i="3"/>
  <c r="N340" i="3"/>
  <c r="B340" i="3"/>
  <c r="A340" i="3"/>
  <c r="N339" i="3"/>
  <c r="B339" i="3"/>
  <c r="A339" i="3"/>
  <c r="N338" i="3"/>
  <c r="B338" i="3"/>
  <c r="A338" i="3"/>
  <c r="N337" i="3"/>
  <c r="B337" i="3"/>
  <c r="A337" i="3"/>
  <c r="N336" i="3"/>
  <c r="B336" i="3"/>
  <c r="A336" i="3"/>
  <c r="N335" i="3"/>
  <c r="B335" i="3"/>
  <c r="A335" i="3"/>
  <c r="N334" i="3"/>
  <c r="B334" i="3"/>
  <c r="A334" i="3"/>
  <c r="N333" i="3"/>
  <c r="B333" i="3"/>
  <c r="A333" i="3"/>
  <c r="N332" i="3"/>
  <c r="B332" i="3"/>
  <c r="A332" i="3"/>
  <c r="N331" i="3"/>
  <c r="B331" i="3"/>
  <c r="A331" i="3"/>
  <c r="N330" i="3"/>
  <c r="B330" i="3"/>
  <c r="A330" i="3"/>
  <c r="N329" i="3"/>
  <c r="B329" i="3"/>
  <c r="A329" i="3"/>
  <c r="N328" i="3"/>
  <c r="B328" i="3"/>
  <c r="A328" i="3"/>
  <c r="N327" i="3"/>
  <c r="B327" i="3"/>
  <c r="A327" i="3"/>
  <c r="N326" i="3"/>
  <c r="B326" i="3"/>
  <c r="A326" i="3"/>
  <c r="N325" i="3"/>
  <c r="B325" i="3"/>
  <c r="A325" i="3"/>
  <c r="N324" i="3"/>
  <c r="B324" i="3"/>
  <c r="A324" i="3"/>
  <c r="N323" i="3"/>
  <c r="B323" i="3"/>
  <c r="A323" i="3"/>
  <c r="N322" i="3"/>
  <c r="B322" i="3"/>
  <c r="A322" i="3"/>
  <c r="N321" i="3"/>
  <c r="B321" i="3"/>
  <c r="A321" i="3"/>
  <c r="N320" i="3"/>
  <c r="B320" i="3"/>
  <c r="A320" i="3"/>
  <c r="N319" i="3"/>
  <c r="B319" i="3"/>
  <c r="A319" i="3"/>
  <c r="N318" i="3"/>
  <c r="B318" i="3"/>
  <c r="A318" i="3"/>
  <c r="N317" i="3"/>
  <c r="B317" i="3"/>
  <c r="A317" i="3"/>
  <c r="N316" i="3"/>
  <c r="B316" i="3"/>
  <c r="A316" i="3"/>
  <c r="N315" i="3"/>
  <c r="B315" i="3"/>
  <c r="A315" i="3"/>
  <c r="N314" i="3"/>
  <c r="B314" i="3"/>
  <c r="A314" i="3"/>
  <c r="N313" i="3"/>
  <c r="B313" i="3"/>
  <c r="A313" i="3"/>
  <c r="N312" i="3"/>
  <c r="B312" i="3"/>
  <c r="A312" i="3"/>
  <c r="N311" i="3"/>
  <c r="B311" i="3"/>
  <c r="A311" i="3"/>
  <c r="N310" i="3"/>
  <c r="B310" i="3"/>
  <c r="A310" i="3"/>
  <c r="N309" i="3"/>
  <c r="B309" i="3"/>
  <c r="A309" i="3"/>
  <c r="N308" i="3"/>
  <c r="B308" i="3"/>
  <c r="A308" i="3"/>
  <c r="N307" i="3"/>
  <c r="B307" i="3"/>
  <c r="A307" i="3"/>
  <c r="N306" i="3"/>
  <c r="B306" i="3"/>
  <c r="A306" i="3"/>
  <c r="N305" i="3"/>
  <c r="B305" i="3"/>
  <c r="A305" i="3"/>
  <c r="N304" i="3"/>
  <c r="B304" i="3"/>
  <c r="A304" i="3"/>
  <c r="N303" i="3"/>
  <c r="B303" i="3"/>
  <c r="A303" i="3"/>
  <c r="N302" i="3"/>
  <c r="B302" i="3"/>
  <c r="A302" i="3"/>
  <c r="N301" i="3"/>
  <c r="B301" i="3"/>
  <c r="A301" i="3"/>
  <c r="N300" i="3"/>
  <c r="B300" i="3"/>
  <c r="A300" i="3"/>
  <c r="N299" i="3"/>
  <c r="B299" i="3"/>
  <c r="A299" i="3"/>
  <c r="N298" i="3"/>
  <c r="B298" i="3"/>
  <c r="A298" i="3"/>
  <c r="N297" i="3"/>
  <c r="B297" i="3"/>
  <c r="A297" i="3"/>
  <c r="N296" i="3"/>
  <c r="B296" i="3"/>
  <c r="A296" i="3"/>
  <c r="N295" i="3"/>
  <c r="B295" i="3"/>
  <c r="A295" i="3"/>
  <c r="N294" i="3"/>
  <c r="B294" i="3"/>
  <c r="A294" i="3"/>
  <c r="N293" i="3"/>
  <c r="B293" i="3"/>
  <c r="A293" i="3"/>
  <c r="N292" i="3"/>
  <c r="B292" i="3"/>
  <c r="A292" i="3"/>
  <c r="N291" i="3"/>
  <c r="B291" i="3"/>
  <c r="A291" i="3"/>
  <c r="N290" i="3"/>
  <c r="B290" i="3"/>
  <c r="A290" i="3"/>
  <c r="N289" i="3"/>
  <c r="B289" i="3"/>
  <c r="A289" i="3"/>
  <c r="N288" i="3"/>
  <c r="B288" i="3"/>
  <c r="A288" i="3"/>
  <c r="N287" i="3"/>
  <c r="B287" i="3"/>
  <c r="A287" i="3"/>
  <c r="N286" i="3"/>
  <c r="B286" i="3"/>
  <c r="A286" i="3"/>
  <c r="N285" i="3"/>
  <c r="B285" i="3"/>
  <c r="A285" i="3"/>
  <c r="N284" i="3"/>
  <c r="B284" i="3"/>
  <c r="A284" i="3"/>
  <c r="N283" i="3"/>
  <c r="B283" i="3"/>
  <c r="A283" i="3"/>
  <c r="N282" i="3"/>
  <c r="B282" i="3"/>
  <c r="A282" i="3"/>
  <c r="N281" i="3"/>
  <c r="B281" i="3"/>
  <c r="A281" i="3"/>
  <c r="N280" i="3"/>
  <c r="B280" i="3"/>
  <c r="A280" i="3"/>
  <c r="N279" i="3"/>
  <c r="B279" i="3"/>
  <c r="A279" i="3"/>
  <c r="N278" i="3"/>
  <c r="B278" i="3"/>
  <c r="A278" i="3"/>
  <c r="N277" i="3"/>
  <c r="B277" i="3"/>
  <c r="A277" i="3"/>
  <c r="N276" i="3"/>
  <c r="B276" i="3"/>
  <c r="A276" i="3"/>
  <c r="N275" i="3"/>
  <c r="B275" i="3"/>
  <c r="A275" i="3"/>
  <c r="N274" i="3"/>
  <c r="B274" i="3"/>
  <c r="A274" i="3"/>
  <c r="N273" i="3"/>
  <c r="B273" i="3"/>
  <c r="A273" i="3"/>
  <c r="N272" i="3"/>
  <c r="B272" i="3"/>
  <c r="A272" i="3"/>
  <c r="N271" i="3"/>
  <c r="B271" i="3"/>
  <c r="A271" i="3"/>
  <c r="N270" i="3"/>
  <c r="B270" i="3"/>
  <c r="A270" i="3"/>
  <c r="N269" i="3"/>
  <c r="B269" i="3"/>
  <c r="A269" i="3"/>
  <c r="N268" i="3"/>
  <c r="B268" i="3"/>
  <c r="A268" i="3"/>
  <c r="N267" i="3"/>
  <c r="B267" i="3"/>
  <c r="A267" i="3"/>
  <c r="N266" i="3"/>
  <c r="B266" i="3"/>
  <c r="A266" i="3"/>
  <c r="N265" i="3"/>
  <c r="B265" i="3"/>
  <c r="A265" i="3"/>
  <c r="N264" i="3"/>
  <c r="B264" i="3"/>
  <c r="A264" i="3"/>
  <c r="N263" i="3"/>
  <c r="B263" i="3"/>
  <c r="A263" i="3"/>
  <c r="N262" i="3"/>
  <c r="B262" i="3"/>
  <c r="A262" i="3"/>
  <c r="N261" i="3"/>
  <c r="B261" i="3"/>
  <c r="A261" i="3"/>
  <c r="N260" i="3"/>
  <c r="B260" i="3"/>
  <c r="A260" i="3"/>
  <c r="N259" i="3"/>
  <c r="B259" i="3"/>
  <c r="A259" i="3"/>
  <c r="N258" i="3"/>
  <c r="B258" i="3"/>
  <c r="A258" i="3"/>
  <c r="N257" i="3"/>
  <c r="B257" i="3"/>
  <c r="A257" i="3"/>
  <c r="N256" i="3"/>
  <c r="B256" i="3"/>
  <c r="A256" i="3"/>
  <c r="N255" i="3"/>
  <c r="B255" i="3"/>
  <c r="A255" i="3"/>
  <c r="N254" i="3"/>
  <c r="B254" i="3"/>
  <c r="A254" i="3"/>
  <c r="N253" i="3"/>
  <c r="B253" i="3"/>
  <c r="A253" i="3"/>
  <c r="N252" i="3"/>
  <c r="B252" i="3"/>
  <c r="A252" i="3"/>
  <c r="N251" i="3"/>
  <c r="B251" i="3"/>
  <c r="A251" i="3"/>
  <c r="N250" i="3"/>
  <c r="B250" i="3"/>
  <c r="A250" i="3"/>
  <c r="N249" i="3"/>
  <c r="B249" i="3"/>
  <c r="A249" i="3"/>
  <c r="N248" i="3"/>
  <c r="B248" i="3"/>
  <c r="A248" i="3"/>
  <c r="N247" i="3"/>
  <c r="B247" i="3"/>
  <c r="A247" i="3"/>
  <c r="N246" i="3"/>
  <c r="B246" i="3"/>
  <c r="A246" i="3"/>
  <c r="N245" i="3"/>
  <c r="B245" i="3"/>
  <c r="A245" i="3"/>
  <c r="N244" i="3"/>
  <c r="B244" i="3"/>
  <c r="A244" i="3"/>
  <c r="N243" i="3"/>
  <c r="B243" i="3"/>
  <c r="A243" i="3"/>
  <c r="N242" i="3"/>
  <c r="B242" i="3"/>
  <c r="A242" i="3"/>
  <c r="N241" i="3"/>
  <c r="B241" i="3"/>
  <c r="A241" i="3"/>
  <c r="N240" i="3"/>
  <c r="B240" i="3"/>
  <c r="A240" i="3"/>
  <c r="N239" i="3"/>
  <c r="B239" i="3"/>
  <c r="A239" i="3"/>
  <c r="N238" i="3"/>
  <c r="B238" i="3"/>
  <c r="A238" i="3"/>
  <c r="N237" i="3"/>
  <c r="B237" i="3"/>
  <c r="A237" i="3"/>
  <c r="N236" i="3"/>
  <c r="B236" i="3"/>
  <c r="A236" i="3"/>
  <c r="N235" i="3"/>
  <c r="B235" i="3"/>
  <c r="A235" i="3"/>
  <c r="N234" i="3"/>
  <c r="B234" i="3"/>
  <c r="A234" i="3"/>
  <c r="N233" i="3"/>
  <c r="B233" i="3"/>
  <c r="A233" i="3"/>
  <c r="N232" i="3"/>
  <c r="B232" i="3"/>
  <c r="A232" i="3"/>
  <c r="N231" i="3"/>
  <c r="B231" i="3"/>
  <c r="A231" i="3"/>
  <c r="N230" i="3"/>
  <c r="B230" i="3"/>
  <c r="A230" i="3"/>
  <c r="N229" i="3"/>
  <c r="B229" i="3"/>
  <c r="A229" i="3"/>
  <c r="N228" i="3"/>
  <c r="B228" i="3"/>
  <c r="A228" i="3"/>
  <c r="N227" i="3"/>
  <c r="B227" i="3"/>
  <c r="A227" i="3"/>
  <c r="N226" i="3"/>
  <c r="B226" i="3"/>
  <c r="A226" i="3"/>
  <c r="N225" i="3"/>
  <c r="B225" i="3"/>
  <c r="A225" i="3"/>
  <c r="N224" i="3"/>
  <c r="B224" i="3"/>
  <c r="A224" i="3"/>
  <c r="N223" i="3"/>
  <c r="B223" i="3"/>
  <c r="A223" i="3"/>
  <c r="N222" i="3"/>
  <c r="B222" i="3"/>
  <c r="A222" i="3"/>
  <c r="N221" i="3"/>
  <c r="B221" i="3"/>
  <c r="A221" i="3"/>
  <c r="N220" i="3"/>
  <c r="B220" i="3"/>
  <c r="A220" i="3"/>
  <c r="N219" i="3"/>
  <c r="B219" i="3"/>
  <c r="A219" i="3"/>
  <c r="N218" i="3"/>
  <c r="B218" i="3"/>
  <c r="A218" i="3"/>
  <c r="N217" i="3"/>
  <c r="B217" i="3"/>
  <c r="A217" i="3"/>
  <c r="N216" i="3"/>
  <c r="B216" i="3"/>
  <c r="A216" i="3"/>
  <c r="N215" i="3"/>
  <c r="B215" i="3"/>
  <c r="A215" i="3"/>
  <c r="N214" i="3"/>
  <c r="B214" i="3"/>
  <c r="A214" i="3"/>
  <c r="N213" i="3"/>
  <c r="B213" i="3"/>
  <c r="A213" i="3"/>
  <c r="N212" i="3"/>
  <c r="B212" i="3"/>
  <c r="A212" i="3"/>
  <c r="N211" i="3"/>
  <c r="B211" i="3"/>
  <c r="A211" i="3"/>
  <c r="N210" i="3"/>
  <c r="B210" i="3"/>
  <c r="A210" i="3"/>
  <c r="N209" i="3"/>
  <c r="B209" i="3"/>
  <c r="A209" i="3"/>
  <c r="N208" i="3"/>
  <c r="B208" i="3"/>
  <c r="A208" i="3"/>
  <c r="N207" i="3"/>
  <c r="B207" i="3"/>
  <c r="A207" i="3"/>
  <c r="N206" i="3"/>
  <c r="B206" i="3"/>
  <c r="A206" i="3"/>
  <c r="N205" i="3"/>
  <c r="B205" i="3"/>
  <c r="A205" i="3"/>
  <c r="N204" i="3"/>
  <c r="B204" i="3"/>
  <c r="A204" i="3"/>
  <c r="N203" i="3"/>
  <c r="B203" i="3"/>
  <c r="A203" i="3"/>
  <c r="N202" i="3"/>
  <c r="B202" i="3"/>
  <c r="A202" i="3"/>
  <c r="N201" i="3"/>
  <c r="B201" i="3"/>
  <c r="A201" i="3"/>
  <c r="N200" i="3"/>
  <c r="B200" i="3"/>
  <c r="A200" i="3"/>
  <c r="N199" i="3"/>
  <c r="B199" i="3"/>
  <c r="A199" i="3"/>
  <c r="N198" i="3"/>
  <c r="B198" i="3"/>
  <c r="A198" i="3"/>
  <c r="N197" i="3"/>
  <c r="B197" i="3"/>
  <c r="A197" i="3"/>
  <c r="N196" i="3"/>
  <c r="B196" i="3"/>
  <c r="A196" i="3"/>
  <c r="N195" i="3"/>
  <c r="B195" i="3"/>
  <c r="A195" i="3"/>
  <c r="N194" i="3"/>
  <c r="B194" i="3"/>
  <c r="A194" i="3"/>
  <c r="N193" i="3"/>
  <c r="B193" i="3"/>
  <c r="A193" i="3"/>
  <c r="N192" i="3"/>
  <c r="B192" i="3"/>
  <c r="A192" i="3"/>
  <c r="N191" i="3"/>
  <c r="B191" i="3"/>
  <c r="A191" i="3"/>
  <c r="N190" i="3"/>
  <c r="B190" i="3"/>
  <c r="A190" i="3"/>
  <c r="N189" i="3"/>
  <c r="B189" i="3"/>
  <c r="A189" i="3"/>
  <c r="N188" i="3"/>
  <c r="B188" i="3"/>
  <c r="A188" i="3"/>
  <c r="N187" i="3"/>
  <c r="B187" i="3"/>
  <c r="A187" i="3"/>
  <c r="N186" i="3"/>
  <c r="B186" i="3"/>
  <c r="A186" i="3"/>
  <c r="N185" i="3"/>
  <c r="B185" i="3"/>
  <c r="A185" i="3"/>
  <c r="N184" i="3"/>
  <c r="B184" i="3"/>
  <c r="A184" i="3"/>
  <c r="N183" i="3"/>
  <c r="B183" i="3"/>
  <c r="A183" i="3"/>
  <c r="N182" i="3"/>
  <c r="B182" i="3"/>
  <c r="A182" i="3"/>
  <c r="N181" i="3"/>
  <c r="B181" i="3"/>
  <c r="A181" i="3"/>
  <c r="N180" i="3"/>
  <c r="B180" i="3"/>
  <c r="A180" i="3"/>
  <c r="N179" i="3"/>
  <c r="B179" i="3"/>
  <c r="A179" i="3"/>
  <c r="N178" i="3"/>
  <c r="B178" i="3"/>
  <c r="A178" i="3"/>
  <c r="N177" i="3"/>
  <c r="B177" i="3"/>
  <c r="A177" i="3"/>
  <c r="N176" i="3"/>
  <c r="B176" i="3"/>
  <c r="A176" i="3"/>
  <c r="N175" i="3"/>
  <c r="B175" i="3"/>
  <c r="A175" i="3"/>
  <c r="N174" i="3"/>
  <c r="B174" i="3"/>
  <c r="A174" i="3"/>
  <c r="N173" i="3"/>
  <c r="B173" i="3"/>
  <c r="A173" i="3"/>
  <c r="N172" i="3"/>
  <c r="B172" i="3"/>
  <c r="A172" i="3"/>
  <c r="N171" i="3"/>
  <c r="B171" i="3"/>
  <c r="A171" i="3"/>
  <c r="N170" i="3"/>
  <c r="B170" i="3"/>
  <c r="A170" i="3"/>
  <c r="N169" i="3"/>
  <c r="B169" i="3"/>
  <c r="A169" i="3"/>
  <c r="N168" i="3"/>
  <c r="B168" i="3"/>
  <c r="A168" i="3"/>
  <c r="N167" i="3"/>
  <c r="B167" i="3"/>
  <c r="A167" i="3"/>
  <c r="N166" i="3"/>
  <c r="B166" i="3"/>
  <c r="A166" i="3"/>
  <c r="N165" i="3"/>
  <c r="B165" i="3"/>
  <c r="A165" i="3"/>
  <c r="N164" i="3"/>
  <c r="B164" i="3"/>
  <c r="A164" i="3"/>
  <c r="N163" i="3"/>
  <c r="B163" i="3"/>
  <c r="A163" i="3"/>
  <c r="N162" i="3"/>
  <c r="B162" i="3"/>
  <c r="A162" i="3"/>
  <c r="N161" i="3"/>
  <c r="B161" i="3"/>
  <c r="A161" i="3"/>
  <c r="N160" i="3"/>
  <c r="B160" i="3"/>
  <c r="A160" i="3"/>
  <c r="N159" i="3"/>
  <c r="B159" i="3"/>
  <c r="A159" i="3"/>
  <c r="N158" i="3"/>
  <c r="B158" i="3"/>
  <c r="A158" i="3"/>
  <c r="N157" i="3"/>
  <c r="B157" i="3"/>
  <c r="A157" i="3"/>
  <c r="N156" i="3"/>
  <c r="B156" i="3"/>
  <c r="A156" i="3"/>
  <c r="N155" i="3"/>
  <c r="B155" i="3"/>
  <c r="A155" i="3"/>
  <c r="N154" i="3"/>
  <c r="B154" i="3"/>
  <c r="A154" i="3"/>
  <c r="N153" i="3"/>
  <c r="B153" i="3"/>
  <c r="A153" i="3"/>
  <c r="N152" i="3"/>
  <c r="B152" i="3"/>
  <c r="A152" i="3"/>
  <c r="N151" i="3"/>
  <c r="B151" i="3"/>
  <c r="A151" i="3"/>
  <c r="N150" i="3"/>
  <c r="B150" i="3"/>
  <c r="A150" i="3"/>
  <c r="N149" i="3"/>
  <c r="B149" i="3"/>
  <c r="A149" i="3"/>
  <c r="N148" i="3"/>
  <c r="B148" i="3"/>
  <c r="A148" i="3"/>
  <c r="N147" i="3"/>
  <c r="B147" i="3"/>
  <c r="A147" i="3"/>
  <c r="N146" i="3"/>
  <c r="B146" i="3"/>
  <c r="A146" i="3"/>
  <c r="N145" i="3"/>
  <c r="B145" i="3"/>
  <c r="A145" i="3"/>
  <c r="N144" i="3"/>
  <c r="B144" i="3"/>
  <c r="A144" i="3"/>
  <c r="N143" i="3"/>
  <c r="B143" i="3"/>
  <c r="A143" i="3"/>
  <c r="N142" i="3"/>
  <c r="B142" i="3"/>
  <c r="A142" i="3"/>
  <c r="N141" i="3"/>
  <c r="B141" i="3"/>
  <c r="A141" i="3"/>
  <c r="N140" i="3"/>
  <c r="B140" i="3"/>
  <c r="A140" i="3"/>
  <c r="N139" i="3"/>
  <c r="B139" i="3"/>
  <c r="A139" i="3"/>
  <c r="N138" i="3"/>
  <c r="B138" i="3"/>
  <c r="A138" i="3"/>
  <c r="N137" i="3"/>
  <c r="B137" i="3"/>
  <c r="A137" i="3"/>
  <c r="N136" i="3"/>
  <c r="B136" i="3"/>
  <c r="A136" i="3"/>
  <c r="N135" i="3"/>
  <c r="B135" i="3"/>
  <c r="A135" i="3"/>
  <c r="N134" i="3"/>
  <c r="B134" i="3"/>
  <c r="A134" i="3"/>
  <c r="N133" i="3"/>
  <c r="B133" i="3"/>
  <c r="A133" i="3"/>
  <c r="N132" i="3"/>
  <c r="B132" i="3"/>
  <c r="A132" i="3"/>
  <c r="N131" i="3"/>
  <c r="B131" i="3"/>
  <c r="A131" i="3"/>
  <c r="N130" i="3"/>
  <c r="B130" i="3"/>
  <c r="A130" i="3"/>
  <c r="N129" i="3"/>
  <c r="B129" i="3"/>
  <c r="A129" i="3"/>
  <c r="N128" i="3"/>
  <c r="B128" i="3"/>
  <c r="A128" i="3"/>
  <c r="N127" i="3"/>
  <c r="B127" i="3"/>
  <c r="A127" i="3"/>
  <c r="N126" i="3"/>
  <c r="B126" i="3"/>
  <c r="A126" i="3"/>
  <c r="N125" i="3"/>
  <c r="B125" i="3"/>
  <c r="A125" i="3"/>
  <c r="N124" i="3"/>
  <c r="B124" i="3"/>
  <c r="A124" i="3"/>
  <c r="N123" i="3"/>
  <c r="B123" i="3"/>
  <c r="A123" i="3"/>
  <c r="N122" i="3"/>
  <c r="B122" i="3"/>
  <c r="A122" i="3"/>
  <c r="N121" i="3"/>
  <c r="B121" i="3"/>
  <c r="A121" i="3"/>
  <c r="N120" i="3"/>
  <c r="B120" i="3"/>
  <c r="A120" i="3"/>
  <c r="N119" i="3"/>
  <c r="B119" i="3"/>
  <c r="A119" i="3"/>
  <c r="N118" i="3"/>
  <c r="B118" i="3"/>
  <c r="A118" i="3"/>
  <c r="N117" i="3"/>
  <c r="B117" i="3"/>
  <c r="A117" i="3"/>
  <c r="N116" i="3"/>
  <c r="B116" i="3"/>
  <c r="A116" i="3"/>
  <c r="N115" i="3"/>
  <c r="B115" i="3"/>
  <c r="A115" i="3"/>
  <c r="N114" i="3"/>
  <c r="B114" i="3"/>
  <c r="A114" i="3"/>
  <c r="N113" i="3"/>
  <c r="B113" i="3"/>
  <c r="A113" i="3"/>
  <c r="N112" i="3"/>
  <c r="B112" i="3"/>
  <c r="A112" i="3"/>
  <c r="N111" i="3"/>
  <c r="B111" i="3"/>
  <c r="A111" i="3"/>
  <c r="N110" i="3"/>
  <c r="B110" i="3"/>
  <c r="A110" i="3"/>
  <c r="N109" i="3"/>
  <c r="B109" i="3"/>
  <c r="A109" i="3"/>
  <c r="N108" i="3"/>
  <c r="B108" i="3"/>
  <c r="A108" i="3"/>
  <c r="N107" i="3"/>
  <c r="B107" i="3"/>
  <c r="A107" i="3"/>
  <c r="N106" i="3"/>
  <c r="B106" i="3"/>
  <c r="A106" i="3"/>
  <c r="N105" i="3"/>
  <c r="B105" i="3"/>
  <c r="A105" i="3"/>
  <c r="N104" i="3"/>
  <c r="B104" i="3"/>
  <c r="A104" i="3"/>
  <c r="N103" i="3"/>
  <c r="B103" i="3"/>
  <c r="A103" i="3"/>
  <c r="N102" i="3"/>
  <c r="B102" i="3"/>
  <c r="A102" i="3"/>
  <c r="N101" i="3"/>
  <c r="B101" i="3"/>
  <c r="A101" i="3"/>
  <c r="N100" i="3"/>
  <c r="B100" i="3"/>
  <c r="A100" i="3"/>
  <c r="N99" i="3"/>
  <c r="B99" i="3"/>
  <c r="A99" i="3"/>
  <c r="N98" i="3"/>
  <c r="B98" i="3"/>
  <c r="A98" i="3"/>
  <c r="N97" i="3"/>
  <c r="B97" i="3"/>
  <c r="A97" i="3"/>
  <c r="N96" i="3"/>
  <c r="B96" i="3"/>
  <c r="A96" i="3"/>
  <c r="N95" i="3"/>
  <c r="B95" i="3"/>
  <c r="A95" i="3"/>
  <c r="N94" i="3"/>
  <c r="B94" i="3"/>
  <c r="A94" i="3"/>
  <c r="N93" i="3"/>
  <c r="B93" i="3"/>
  <c r="A93" i="3"/>
  <c r="N92" i="3"/>
  <c r="B92" i="3"/>
  <c r="A92" i="3"/>
  <c r="N91" i="3"/>
  <c r="B91" i="3"/>
  <c r="A91" i="3"/>
  <c r="N90" i="3"/>
  <c r="B90" i="3"/>
  <c r="A90" i="3"/>
  <c r="N89" i="3"/>
  <c r="B89" i="3"/>
  <c r="A89" i="3"/>
  <c r="N88" i="3"/>
  <c r="B88" i="3"/>
  <c r="A88" i="3"/>
  <c r="N87" i="3"/>
  <c r="B87" i="3"/>
  <c r="A87" i="3"/>
  <c r="N86" i="3"/>
  <c r="B86" i="3"/>
  <c r="A86" i="3"/>
  <c r="N85" i="3"/>
  <c r="B85" i="3"/>
  <c r="A85" i="3"/>
  <c r="N84" i="3"/>
  <c r="B84" i="3"/>
  <c r="A84" i="3"/>
  <c r="N83" i="3"/>
  <c r="B83" i="3"/>
  <c r="A83" i="3"/>
  <c r="N82" i="3"/>
  <c r="B82" i="3"/>
  <c r="A82" i="3"/>
  <c r="N81" i="3"/>
  <c r="B81" i="3"/>
  <c r="A81" i="3"/>
  <c r="N80" i="3"/>
  <c r="B80" i="3"/>
  <c r="A80" i="3"/>
  <c r="N79" i="3"/>
  <c r="B79" i="3"/>
  <c r="A79" i="3"/>
  <c r="N78" i="3"/>
  <c r="B78" i="3"/>
  <c r="A78" i="3"/>
  <c r="N77" i="3"/>
  <c r="B77" i="3"/>
  <c r="A77" i="3"/>
  <c r="N76" i="3"/>
  <c r="B76" i="3"/>
  <c r="A76" i="3"/>
  <c r="N75" i="3"/>
  <c r="B75" i="3"/>
  <c r="A75" i="3"/>
  <c r="N74" i="3"/>
  <c r="B74" i="3"/>
  <c r="A74" i="3"/>
  <c r="N73" i="3"/>
  <c r="B73" i="3"/>
  <c r="A73" i="3"/>
  <c r="N72" i="3"/>
  <c r="B72" i="3"/>
  <c r="A72" i="3"/>
  <c r="N71" i="3"/>
  <c r="B71" i="3"/>
  <c r="A71" i="3"/>
  <c r="N70" i="3"/>
  <c r="B70" i="3"/>
  <c r="A70" i="3"/>
  <c r="N69" i="3"/>
  <c r="B69" i="3"/>
  <c r="A69" i="3"/>
  <c r="N68" i="3"/>
  <c r="B68" i="3"/>
  <c r="A68" i="3"/>
  <c r="N67" i="3"/>
  <c r="B67" i="3"/>
  <c r="A67" i="3"/>
  <c r="N66" i="3"/>
  <c r="B66" i="3"/>
  <c r="A66" i="3"/>
  <c r="N65" i="3"/>
  <c r="B65" i="3"/>
  <c r="A65" i="3"/>
  <c r="N64" i="3"/>
  <c r="B64" i="3"/>
  <c r="A64" i="3"/>
  <c r="N63" i="3"/>
  <c r="B63" i="3"/>
  <c r="A63" i="3"/>
  <c r="N62" i="3"/>
  <c r="B62" i="3"/>
  <c r="A62" i="3"/>
  <c r="N61" i="3"/>
  <c r="B61" i="3"/>
  <c r="A61" i="3"/>
  <c r="N60" i="3"/>
  <c r="B60" i="3"/>
  <c r="A60" i="3"/>
  <c r="N59" i="3"/>
  <c r="B59" i="3"/>
  <c r="A59" i="3"/>
  <c r="N58" i="3"/>
  <c r="B58" i="3"/>
  <c r="A58" i="3"/>
  <c r="N57" i="3"/>
  <c r="B57" i="3"/>
  <c r="A57" i="3"/>
  <c r="N56" i="3"/>
  <c r="B56" i="3"/>
  <c r="A56" i="3"/>
  <c r="N55" i="3"/>
  <c r="B55" i="3"/>
  <c r="A55" i="3"/>
  <c r="N54" i="3"/>
  <c r="B54" i="3"/>
  <c r="A54" i="3"/>
  <c r="N53" i="3"/>
  <c r="B53" i="3"/>
  <c r="A53" i="3"/>
  <c r="N52" i="3"/>
  <c r="B52" i="3"/>
  <c r="A52" i="3"/>
  <c r="N51" i="3"/>
  <c r="B51" i="3"/>
  <c r="A51" i="3"/>
  <c r="N50" i="3"/>
  <c r="B50" i="3"/>
  <c r="A50" i="3"/>
  <c r="N49" i="3"/>
  <c r="B49" i="3"/>
  <c r="A49" i="3"/>
  <c r="N48" i="3"/>
  <c r="B48" i="3"/>
  <c r="A48" i="3"/>
  <c r="N47" i="3"/>
  <c r="B47" i="3"/>
  <c r="A47" i="3"/>
  <c r="N46" i="3"/>
  <c r="B46" i="3"/>
  <c r="A46" i="3"/>
  <c r="N45" i="3"/>
  <c r="B45" i="3"/>
  <c r="A45" i="3"/>
  <c r="N44" i="3"/>
  <c r="B44" i="3"/>
  <c r="A44" i="3"/>
  <c r="N43" i="3"/>
  <c r="B43" i="3"/>
  <c r="A43" i="3"/>
  <c r="N42" i="3"/>
  <c r="B42" i="3"/>
  <c r="A42" i="3"/>
  <c r="N41" i="3"/>
  <c r="B41" i="3"/>
  <c r="A41" i="3"/>
  <c r="N40" i="3"/>
  <c r="B40" i="3"/>
  <c r="A40" i="3"/>
  <c r="N39" i="3"/>
  <c r="B39" i="3"/>
  <c r="A39" i="3"/>
  <c r="N38" i="3"/>
  <c r="B38" i="3"/>
  <c r="A38" i="3"/>
  <c r="N37" i="3"/>
  <c r="B37" i="3"/>
  <c r="A37" i="3"/>
  <c r="N36" i="3"/>
  <c r="B36" i="3"/>
  <c r="A36" i="3"/>
  <c r="N35" i="3"/>
  <c r="B35" i="3"/>
  <c r="A35" i="3"/>
  <c r="N34" i="3"/>
  <c r="B34" i="3"/>
  <c r="A34" i="3"/>
  <c r="N33" i="3"/>
  <c r="B33" i="3"/>
  <c r="A33" i="3"/>
  <c r="N32" i="3"/>
  <c r="B32" i="3"/>
  <c r="A32" i="3"/>
  <c r="N31" i="3"/>
  <c r="B31" i="3"/>
  <c r="A31" i="3"/>
  <c r="N30" i="3"/>
  <c r="B30" i="3"/>
  <c r="A30" i="3"/>
  <c r="N29" i="3"/>
  <c r="B29" i="3"/>
  <c r="A29" i="3"/>
  <c r="N28" i="3"/>
  <c r="B28" i="3"/>
  <c r="A28" i="3"/>
  <c r="N27" i="3"/>
  <c r="B27" i="3"/>
  <c r="A27" i="3"/>
  <c r="N26" i="3"/>
  <c r="B26" i="3"/>
  <c r="A26" i="3"/>
  <c r="N25" i="3"/>
  <c r="B25" i="3"/>
  <c r="A25" i="3"/>
  <c r="N24" i="3"/>
  <c r="B24" i="3"/>
  <c r="A24" i="3"/>
  <c r="N23" i="3"/>
  <c r="B23" i="3"/>
  <c r="A23" i="3"/>
  <c r="N22" i="3"/>
  <c r="B22" i="3"/>
  <c r="A22" i="3"/>
  <c r="N21" i="3"/>
  <c r="B21" i="3"/>
  <c r="A21" i="3"/>
  <c r="N20" i="3"/>
  <c r="B20" i="3"/>
  <c r="A20" i="3"/>
  <c r="N19" i="3"/>
  <c r="B19" i="3"/>
  <c r="A19" i="3"/>
  <c r="N18" i="3"/>
  <c r="B18" i="3"/>
  <c r="A18" i="3"/>
  <c r="N17" i="3"/>
  <c r="B17" i="3"/>
  <c r="A17" i="3"/>
  <c r="N16" i="3"/>
  <c r="B16" i="3"/>
  <c r="A16" i="3"/>
  <c r="N15" i="3"/>
  <c r="B15" i="3"/>
  <c r="A15" i="3"/>
  <c r="N14" i="3"/>
  <c r="B14" i="3"/>
  <c r="A14" i="3"/>
  <c r="N13" i="3"/>
  <c r="B13" i="3"/>
  <c r="A13" i="3"/>
  <c r="N12" i="3"/>
  <c r="B12" i="3"/>
  <c r="A12" i="3"/>
  <c r="N11" i="3"/>
  <c r="B11" i="3"/>
  <c r="A11" i="3"/>
  <c r="N10" i="3"/>
  <c r="B10" i="3"/>
  <c r="A10" i="3"/>
  <c r="N9" i="3"/>
  <c r="B9" i="3"/>
  <c r="A9" i="3"/>
  <c r="N8" i="3"/>
  <c r="B8" i="3"/>
  <c r="A8" i="3"/>
  <c r="N7" i="3"/>
  <c r="B7" i="3"/>
  <c r="A7" i="3"/>
  <c r="N6" i="3"/>
  <c r="B6" i="3"/>
  <c r="A6" i="3"/>
  <c r="N5" i="3"/>
  <c r="B5" i="3"/>
  <c r="A5" i="3"/>
  <c r="N4" i="3"/>
  <c r="B4" i="3"/>
  <c r="A4" i="3"/>
  <c r="N3" i="3"/>
  <c r="B3" i="3"/>
  <c r="A3" i="3"/>
  <c r="N2" i="3"/>
  <c r="B2" i="3"/>
  <c r="A2" i="3"/>
  <c r="S22" i="2"/>
  <c r="N22" i="1" s="1"/>
  <c r="Q22" i="2"/>
  <c r="M22" i="1" s="1"/>
  <c r="N22" i="2"/>
  <c r="O22" i="2" s="1"/>
  <c r="L22" i="1" s="1"/>
  <c r="M22" i="2"/>
  <c r="K22" i="1" s="1"/>
  <c r="K22" i="2"/>
  <c r="J22" i="1" s="1"/>
  <c r="I22" i="2"/>
  <c r="C22" i="2"/>
  <c r="T22" i="2" s="1"/>
  <c r="Q21" i="2"/>
  <c r="M36" i="1" s="1"/>
  <c r="N21" i="2"/>
  <c r="O21" i="2" s="1"/>
  <c r="L36" i="1" s="1"/>
  <c r="M21" i="2"/>
  <c r="K21" i="2"/>
  <c r="J36" i="1" s="1"/>
  <c r="I21" i="2"/>
  <c r="C21" i="2"/>
  <c r="Q20" i="2"/>
  <c r="M27" i="1" s="1"/>
  <c r="N20" i="2"/>
  <c r="O20" i="2" s="1"/>
  <c r="M20" i="2"/>
  <c r="K27" i="1" s="1"/>
  <c r="K20" i="2"/>
  <c r="J27" i="1" s="1"/>
  <c r="I20" i="2"/>
  <c r="C20" i="2"/>
  <c r="T20" i="2" s="1"/>
  <c r="O27" i="1" s="1"/>
  <c r="Q19" i="2"/>
  <c r="M24" i="1" s="1"/>
  <c r="N19" i="2"/>
  <c r="O19" i="2" s="1"/>
  <c r="L24" i="1" s="1"/>
  <c r="M19" i="2"/>
  <c r="K24" i="1" s="1"/>
  <c r="K19" i="2"/>
  <c r="J24" i="1" s="1"/>
  <c r="I19" i="2"/>
  <c r="C19" i="2"/>
  <c r="T19" i="2" s="1"/>
  <c r="O24" i="1" s="1"/>
  <c r="Q18" i="2"/>
  <c r="M38" i="1" s="1"/>
  <c r="N18" i="2"/>
  <c r="O18" i="2" s="1"/>
  <c r="L38" i="1" s="1"/>
  <c r="M18" i="2"/>
  <c r="K38" i="1" s="1"/>
  <c r="K18" i="2"/>
  <c r="J38" i="1" s="1"/>
  <c r="I18" i="2"/>
  <c r="C18" i="2"/>
  <c r="T18" i="2" s="1"/>
  <c r="O38" i="1" s="1"/>
  <c r="Q17" i="2"/>
  <c r="M35" i="1" s="1"/>
  <c r="N17" i="2"/>
  <c r="O17" i="2" s="1"/>
  <c r="M17" i="2"/>
  <c r="K35" i="1" s="1"/>
  <c r="K17" i="2"/>
  <c r="J35" i="1" s="1"/>
  <c r="I17" i="2"/>
  <c r="C17" i="2"/>
  <c r="T17" i="2" s="1"/>
  <c r="O35" i="1" s="1"/>
  <c r="Q16" i="2"/>
  <c r="M28" i="1" s="1"/>
  <c r="N16" i="2"/>
  <c r="O16" i="2" s="1"/>
  <c r="M16" i="2"/>
  <c r="K28" i="1" s="1"/>
  <c r="K16" i="2"/>
  <c r="J28" i="1" s="1"/>
  <c r="I16" i="2"/>
  <c r="C16" i="2"/>
  <c r="H28" i="1" s="1"/>
  <c r="Q15" i="2"/>
  <c r="M34" i="1" s="1"/>
  <c r="N15" i="2"/>
  <c r="O15" i="2" s="1"/>
  <c r="L34" i="1" s="1"/>
  <c r="M15" i="2"/>
  <c r="K34" i="1" s="1"/>
  <c r="K15" i="2"/>
  <c r="J34" i="1" s="1"/>
  <c r="I15" i="2"/>
  <c r="C15" i="2"/>
  <c r="T15" i="2" s="1"/>
  <c r="O34" i="1" s="1"/>
  <c r="Q14" i="2"/>
  <c r="M37" i="1" s="1"/>
  <c r="N14" i="2"/>
  <c r="O14" i="2" s="1"/>
  <c r="L37" i="1" s="1"/>
  <c r="M14" i="2"/>
  <c r="K37" i="1" s="1"/>
  <c r="K14" i="2"/>
  <c r="J37" i="1" s="1"/>
  <c r="I14" i="2"/>
  <c r="C14" i="2"/>
  <c r="Q13" i="2"/>
  <c r="M23" i="1" s="1"/>
  <c r="N13" i="2"/>
  <c r="O13" i="2" s="1"/>
  <c r="L23" i="1" s="1"/>
  <c r="M13" i="2"/>
  <c r="K23" i="1" s="1"/>
  <c r="K13" i="2"/>
  <c r="J23" i="1" s="1"/>
  <c r="I13" i="2"/>
  <c r="C13" i="2"/>
  <c r="T13" i="2" s="1"/>
  <c r="O23" i="1" s="1"/>
  <c r="Q12" i="2"/>
  <c r="M42" i="1" s="1"/>
  <c r="N12" i="2"/>
  <c r="O12" i="2" s="1"/>
  <c r="M12" i="2"/>
  <c r="K42" i="1" s="1"/>
  <c r="K12" i="2"/>
  <c r="J42" i="1" s="1"/>
  <c r="I12" i="2"/>
  <c r="C12" i="2"/>
  <c r="T12" i="2" s="1"/>
  <c r="O42" i="1" s="1"/>
  <c r="Q11" i="2"/>
  <c r="M39" i="1" s="1"/>
  <c r="N11" i="2"/>
  <c r="O11" i="2" s="1"/>
  <c r="L39" i="1" s="1"/>
  <c r="M11" i="2"/>
  <c r="K39" i="1" s="1"/>
  <c r="K11" i="2"/>
  <c r="J39" i="1" s="1"/>
  <c r="I11" i="2"/>
  <c r="C11" i="2"/>
  <c r="T11" i="2" s="1"/>
  <c r="O39" i="1" s="1"/>
  <c r="O10" i="2"/>
  <c r="L26" i="1" s="1"/>
  <c r="M10" i="2"/>
  <c r="K26" i="1" s="1"/>
  <c r="K10" i="2"/>
  <c r="J26" i="1" s="1"/>
  <c r="I10" i="2"/>
  <c r="C10" i="2"/>
  <c r="T10" i="2" s="1"/>
  <c r="O26" i="1" s="1"/>
  <c r="N9" i="2"/>
  <c r="O9" i="2" s="1"/>
  <c r="M9" i="2"/>
  <c r="K40" i="1" s="1"/>
  <c r="I9" i="2"/>
  <c r="C9" i="2"/>
  <c r="H40" i="1" s="1"/>
  <c r="N8" i="2"/>
  <c r="O8" i="2" s="1"/>
  <c r="L29" i="1" s="1"/>
  <c r="M8" i="2"/>
  <c r="K8" i="2"/>
  <c r="Q8" i="2" s="1"/>
  <c r="M29" i="1" s="1"/>
  <c r="I8" i="2"/>
  <c r="C8" i="2"/>
  <c r="T8" i="2" s="1"/>
  <c r="N7" i="2"/>
  <c r="O7" i="2" s="1"/>
  <c r="L31" i="1" s="1"/>
  <c r="M7" i="2"/>
  <c r="K31" i="1" s="1"/>
  <c r="K7" i="2"/>
  <c r="J31" i="1" s="1"/>
  <c r="I7" i="2"/>
  <c r="C7" i="2"/>
  <c r="T7" i="2" s="1"/>
  <c r="O31" i="1" s="1"/>
  <c r="Q6" i="2"/>
  <c r="M32" i="1" s="1"/>
  <c r="N6" i="2"/>
  <c r="O6" i="2" s="1"/>
  <c r="L32" i="1" s="1"/>
  <c r="M6" i="2"/>
  <c r="K32" i="1" s="1"/>
  <c r="K6" i="2"/>
  <c r="J32" i="1" s="1"/>
  <c r="I6" i="2"/>
  <c r="C6" i="2"/>
  <c r="T6" i="2" s="1"/>
  <c r="O32" i="1" s="1"/>
  <c r="N5" i="2"/>
  <c r="O5" i="2" s="1"/>
  <c r="M5" i="2"/>
  <c r="K41" i="1" s="1"/>
  <c r="K5" i="2"/>
  <c r="Q5" i="2" s="1"/>
  <c r="M41" i="1" s="1"/>
  <c r="I5" i="2"/>
  <c r="C5" i="2"/>
  <c r="T5" i="2" s="1"/>
  <c r="O41" i="1" s="1"/>
  <c r="O4" i="2"/>
  <c r="M4" i="2"/>
  <c r="K25" i="1" s="1"/>
  <c r="K4" i="2"/>
  <c r="Q4" i="2" s="1"/>
  <c r="M25" i="1" s="1"/>
  <c r="I4" i="2"/>
  <c r="C4" i="2"/>
  <c r="H25" i="1" s="1"/>
  <c r="O3" i="2"/>
  <c r="L30" i="1" s="1"/>
  <c r="M3" i="2"/>
  <c r="K3" i="2"/>
  <c r="J30" i="1" s="1"/>
  <c r="I3" i="2"/>
  <c r="C3" i="2"/>
  <c r="T3" i="2" s="1"/>
  <c r="O30" i="1" s="1"/>
  <c r="Q2" i="2"/>
  <c r="M33" i="1" s="1"/>
  <c r="N2" i="2"/>
  <c r="O2" i="2" s="1"/>
  <c r="M2" i="2"/>
  <c r="K2" i="2"/>
  <c r="J33" i="1" s="1"/>
  <c r="I2" i="2"/>
  <c r="C2" i="2"/>
  <c r="H33" i="1" s="1"/>
  <c r="S42" i="1"/>
  <c r="R42" i="1"/>
  <c r="I42" i="1"/>
  <c r="G42" i="1"/>
  <c r="F42" i="1"/>
  <c r="E42" i="1"/>
  <c r="D42" i="1"/>
  <c r="C42" i="1"/>
  <c r="B42" i="1"/>
  <c r="S41" i="1"/>
  <c r="R41" i="1"/>
  <c r="I41" i="1"/>
  <c r="G41" i="1"/>
  <c r="F41" i="1"/>
  <c r="E41" i="1"/>
  <c r="D41" i="1"/>
  <c r="C41" i="1"/>
  <c r="B41" i="1"/>
  <c r="S40" i="1"/>
  <c r="R40" i="1"/>
  <c r="I40" i="1"/>
  <c r="G40" i="1"/>
  <c r="F40" i="1"/>
  <c r="E40" i="1"/>
  <c r="D40" i="1"/>
  <c r="C40" i="1"/>
  <c r="B40" i="1"/>
  <c r="S39" i="1"/>
  <c r="R39" i="1"/>
  <c r="I39" i="1"/>
  <c r="G39" i="1"/>
  <c r="F39" i="1"/>
  <c r="E39" i="1"/>
  <c r="D39" i="1"/>
  <c r="C39" i="1"/>
  <c r="B39" i="1"/>
  <c r="S38" i="1"/>
  <c r="R38" i="1"/>
  <c r="I38" i="1"/>
  <c r="G38" i="1"/>
  <c r="F38" i="1"/>
  <c r="E38" i="1"/>
  <c r="D38" i="1"/>
  <c r="C38" i="1"/>
  <c r="B38" i="1"/>
  <c r="S37" i="1"/>
  <c r="R37" i="1"/>
  <c r="I37" i="1"/>
  <c r="G37" i="1"/>
  <c r="F37" i="1"/>
  <c r="E37" i="1"/>
  <c r="D37" i="1"/>
  <c r="C37" i="1"/>
  <c r="B37" i="1"/>
  <c r="S36" i="1"/>
  <c r="R36" i="1"/>
  <c r="I36" i="1"/>
  <c r="G36" i="1"/>
  <c r="F36" i="1"/>
  <c r="E36" i="1"/>
  <c r="D36" i="1"/>
  <c r="C36" i="1"/>
  <c r="B36" i="1"/>
  <c r="S35" i="1"/>
  <c r="R35" i="1"/>
  <c r="I35" i="1"/>
  <c r="G35" i="1"/>
  <c r="F35" i="1"/>
  <c r="E35" i="1"/>
  <c r="D35" i="1"/>
  <c r="C35" i="1"/>
  <c r="B35" i="1"/>
  <c r="S34" i="1"/>
  <c r="R34" i="1"/>
  <c r="I34" i="1"/>
  <c r="G34" i="1"/>
  <c r="F34" i="1"/>
  <c r="E34" i="1"/>
  <c r="D34" i="1"/>
  <c r="C34" i="1"/>
  <c r="B34" i="1"/>
  <c r="S33" i="1"/>
  <c r="R33" i="1"/>
  <c r="I33" i="1"/>
  <c r="G33" i="1"/>
  <c r="F33" i="1"/>
  <c r="E33" i="1"/>
  <c r="D33" i="1"/>
  <c r="C33" i="1"/>
  <c r="B33" i="1"/>
  <c r="S32" i="1"/>
  <c r="R32" i="1"/>
  <c r="I32" i="1"/>
  <c r="G32" i="1"/>
  <c r="F32" i="1"/>
  <c r="E32" i="1"/>
  <c r="D32" i="1"/>
  <c r="C32" i="1"/>
  <c r="B32" i="1"/>
  <c r="S31" i="1"/>
  <c r="R31" i="1"/>
  <c r="I31" i="1"/>
  <c r="G31" i="1"/>
  <c r="F31" i="1"/>
  <c r="E31" i="1"/>
  <c r="D31" i="1"/>
  <c r="C31" i="1"/>
  <c r="B31" i="1"/>
  <c r="S30" i="1"/>
  <c r="R30" i="1"/>
  <c r="I30" i="1"/>
  <c r="G30" i="1"/>
  <c r="F30" i="1"/>
  <c r="E30" i="1"/>
  <c r="D30" i="1"/>
  <c r="C30" i="1"/>
  <c r="B30" i="1"/>
  <c r="S29" i="1"/>
  <c r="R29" i="1"/>
  <c r="I29" i="1"/>
  <c r="G29" i="1"/>
  <c r="F29" i="1"/>
  <c r="E29" i="1"/>
  <c r="D29" i="1"/>
  <c r="C29" i="1"/>
  <c r="B29" i="1"/>
  <c r="S28" i="1"/>
  <c r="R28" i="1"/>
  <c r="I28" i="1"/>
  <c r="G28" i="1"/>
  <c r="F28" i="1"/>
  <c r="E28" i="1"/>
  <c r="D28" i="1"/>
  <c r="C28" i="1"/>
  <c r="B28" i="1"/>
  <c r="S27" i="1"/>
  <c r="R27" i="1"/>
  <c r="I27" i="1"/>
  <c r="G27" i="1"/>
  <c r="F27" i="1"/>
  <c r="E27" i="1"/>
  <c r="D27" i="1"/>
  <c r="C27" i="1"/>
  <c r="B27" i="1"/>
  <c r="S26" i="1"/>
  <c r="R26" i="1"/>
  <c r="I26" i="1"/>
  <c r="G26" i="1"/>
  <c r="F26" i="1"/>
  <c r="E26" i="1"/>
  <c r="D26" i="1"/>
  <c r="C26" i="1"/>
  <c r="B26" i="1"/>
  <c r="S25" i="1"/>
  <c r="R25" i="1"/>
  <c r="I25" i="1"/>
  <c r="G25" i="1"/>
  <c r="F25" i="1"/>
  <c r="E25" i="1"/>
  <c r="D25" i="1"/>
  <c r="C25" i="1"/>
  <c r="B25" i="1"/>
  <c r="S24" i="1"/>
  <c r="R24" i="1"/>
  <c r="I24" i="1"/>
  <c r="G24" i="1"/>
  <c r="F24" i="1"/>
  <c r="E24" i="1"/>
  <c r="D24" i="1"/>
  <c r="C24" i="1"/>
  <c r="B24" i="1"/>
  <c r="S23" i="1"/>
  <c r="R23" i="1"/>
  <c r="I23" i="1"/>
  <c r="G23" i="1"/>
  <c r="F23" i="1"/>
  <c r="E23" i="1"/>
  <c r="D23" i="1"/>
  <c r="C23" i="1"/>
  <c r="B23" i="1"/>
  <c r="A23" i="1"/>
  <c r="S22" i="1"/>
  <c r="R22" i="1"/>
  <c r="I22" i="1"/>
  <c r="G22" i="1"/>
  <c r="F22" i="1"/>
  <c r="E22" i="1"/>
  <c r="D22" i="1"/>
  <c r="C22" i="1"/>
  <c r="B22" i="1"/>
  <c r="I5" i="1"/>
  <c r="G5" i="1"/>
  <c r="E5" i="1"/>
  <c r="C5" i="1"/>
  <c r="A5" i="1"/>
  <c r="R2" i="1"/>
  <c r="Q10" i="2" l="1"/>
  <c r="M26" i="1" s="1"/>
  <c r="Q3" i="2"/>
  <c r="M30" i="1" s="1"/>
  <c r="X12" i="2"/>
  <c r="J40" i="1"/>
  <c r="X14" i="2"/>
  <c r="M5" i="1"/>
  <c r="X8" i="2"/>
  <c r="X2" i="2"/>
  <c r="X21" i="2"/>
  <c r="X17" i="2"/>
  <c r="X9" i="2"/>
  <c r="X5" i="2"/>
  <c r="X20" i="2"/>
  <c r="X16" i="2"/>
  <c r="X4" i="2"/>
  <c r="X19" i="2"/>
  <c r="X15" i="2"/>
  <c r="X11" i="2"/>
  <c r="X18" i="2"/>
  <c r="X6" i="2"/>
  <c r="A24" i="1"/>
  <c r="W19" i="2"/>
  <c r="Y19" i="2" s="1"/>
  <c r="W4" i="2"/>
  <c r="Y4" i="2" s="1"/>
  <c r="Q5" i="1"/>
  <c r="L752" i="3"/>
  <c r="M752" i="3" s="1"/>
  <c r="A27" i="1"/>
  <c r="W8" i="2"/>
  <c r="Y8" i="2" s="1"/>
  <c r="W2" i="2"/>
  <c r="W21" i="2"/>
  <c r="Y21" i="2" s="1"/>
  <c r="W17" i="2"/>
  <c r="Y17" i="2" s="1"/>
  <c r="W9" i="2"/>
  <c r="Y9" i="2" s="1"/>
  <c r="W5" i="2"/>
  <c r="Y5" i="2" s="1"/>
  <c r="W20" i="2"/>
  <c r="Y20" i="2" s="1"/>
  <c r="W16" i="2"/>
  <c r="Y16" i="2" s="1"/>
  <c r="W12" i="2"/>
  <c r="Y12" i="2" s="1"/>
  <c r="W15" i="2"/>
  <c r="Y15" i="2" s="1"/>
  <c r="W11" i="2"/>
  <c r="Y11" i="2" s="1"/>
  <c r="W18" i="2"/>
  <c r="Y18" i="2" s="1"/>
  <c r="W14" i="2"/>
  <c r="Y14" i="2" s="1"/>
  <c r="W6" i="2"/>
  <c r="Y6" i="2" s="1"/>
  <c r="O5" i="1"/>
  <c r="K5" i="1"/>
  <c r="Q9" i="1"/>
  <c r="H27" i="1"/>
  <c r="H22" i="1"/>
  <c r="L211" i="3"/>
  <c r="M211" i="3" s="1"/>
  <c r="L239" i="3"/>
  <c r="M239" i="3" s="1"/>
  <c r="L267" i="3"/>
  <c r="M267" i="3" s="1"/>
  <c r="L597" i="3"/>
  <c r="M597" i="3" s="1"/>
  <c r="H26" i="1"/>
  <c r="H38" i="1"/>
  <c r="L659" i="3"/>
  <c r="M659" i="3" s="1"/>
  <c r="L679" i="3"/>
  <c r="M679" i="3" s="1"/>
  <c r="H23" i="1"/>
  <c r="L38" i="3"/>
  <c r="M38" i="3" s="1"/>
  <c r="L40" i="3"/>
  <c r="M40" i="3" s="1"/>
  <c r="L42" i="3"/>
  <c r="M42" i="3" s="1"/>
  <c r="L45" i="3"/>
  <c r="M45" i="3" s="1"/>
  <c r="L73" i="3"/>
  <c r="M73" i="3" s="1"/>
  <c r="L121" i="3"/>
  <c r="M121" i="3" s="1"/>
  <c r="L125" i="3"/>
  <c r="M125" i="3" s="1"/>
  <c r="L155" i="3"/>
  <c r="M155" i="3" s="1"/>
  <c r="L157" i="3"/>
  <c r="M157" i="3" s="1"/>
  <c r="L179" i="3"/>
  <c r="M179" i="3" s="1"/>
  <c r="L282" i="3"/>
  <c r="M282" i="3" s="1"/>
  <c r="L283" i="3"/>
  <c r="M283" i="3" s="1"/>
  <c r="L290" i="3"/>
  <c r="M290" i="3" s="1"/>
  <c r="L291" i="3"/>
  <c r="M291" i="3" s="1"/>
  <c r="L294" i="3"/>
  <c r="M294" i="3" s="1"/>
  <c r="L295" i="3"/>
  <c r="M295" i="3" s="1"/>
  <c r="L296" i="3"/>
  <c r="M296" i="3" s="1"/>
  <c r="L297" i="3"/>
  <c r="M297" i="3" s="1"/>
  <c r="L313" i="3"/>
  <c r="M313" i="3" s="1"/>
  <c r="L314" i="3"/>
  <c r="M314" i="3" s="1"/>
  <c r="L315" i="3"/>
  <c r="M315" i="3" s="1"/>
  <c r="L321" i="3"/>
  <c r="M321" i="3" s="1"/>
  <c r="L322" i="3"/>
  <c r="M322" i="3" s="1"/>
  <c r="L323" i="3"/>
  <c r="M323" i="3" s="1"/>
  <c r="L330" i="3"/>
  <c r="M330" i="3" s="1"/>
  <c r="L331" i="3"/>
  <c r="M331" i="3" s="1"/>
  <c r="L343" i="3"/>
  <c r="M343" i="3" s="1"/>
  <c r="L344" i="3"/>
  <c r="M344" i="3" s="1"/>
  <c r="L345" i="3"/>
  <c r="M345" i="3" s="1"/>
  <c r="L369" i="3"/>
  <c r="M369" i="3" s="1"/>
  <c r="L395" i="3"/>
  <c r="M395" i="3" s="1"/>
  <c r="L401" i="3"/>
  <c r="M401" i="3" s="1"/>
  <c r="L402" i="3"/>
  <c r="M402" i="3" s="1"/>
  <c r="L408" i="3"/>
  <c r="M408" i="3" s="1"/>
  <c r="L409" i="3"/>
  <c r="M409" i="3" s="1"/>
  <c r="L412" i="3"/>
  <c r="M412" i="3" s="1"/>
  <c r="L413" i="3"/>
  <c r="M413" i="3" s="1"/>
  <c r="L415" i="3"/>
  <c r="M415" i="3" s="1"/>
  <c r="L416" i="3"/>
  <c r="M416" i="3" s="1"/>
  <c r="L417" i="3"/>
  <c r="M417" i="3" s="1"/>
  <c r="L423" i="3"/>
  <c r="M423" i="3" s="1"/>
  <c r="L426" i="3"/>
  <c r="M426" i="3" s="1"/>
  <c r="L427" i="3"/>
  <c r="M427" i="3" s="1"/>
  <c r="L428" i="3"/>
  <c r="M428" i="3" s="1"/>
  <c r="L429" i="3"/>
  <c r="M429" i="3" s="1"/>
  <c r="L433" i="3"/>
  <c r="M433" i="3" s="1"/>
  <c r="L434" i="3"/>
  <c r="M434" i="3" s="1"/>
  <c r="L439" i="3"/>
  <c r="M439" i="3" s="1"/>
  <c r="L440" i="3"/>
  <c r="M440" i="3" s="1"/>
  <c r="L441" i="3"/>
  <c r="M441" i="3" s="1"/>
  <c r="L453" i="3"/>
  <c r="M453" i="3" s="1"/>
  <c r="L455" i="3"/>
  <c r="M455" i="3" s="1"/>
  <c r="L458" i="3"/>
  <c r="M458" i="3" s="1"/>
  <c r="L459" i="3"/>
  <c r="M459" i="3" s="1"/>
  <c r="L460" i="3"/>
  <c r="M460" i="3" s="1"/>
  <c r="L461" i="3"/>
  <c r="M461" i="3" s="1"/>
  <c r="L463" i="3"/>
  <c r="M463" i="3" s="1"/>
  <c r="L464" i="3"/>
  <c r="M464" i="3" s="1"/>
  <c r="L465" i="3"/>
  <c r="M465" i="3" s="1"/>
  <c r="L469" i="3"/>
  <c r="M469" i="3" s="1"/>
  <c r="L535" i="3"/>
  <c r="M535" i="3" s="1"/>
  <c r="L539" i="3"/>
  <c r="M539" i="3" s="1"/>
  <c r="L545" i="3"/>
  <c r="M545" i="3" s="1"/>
  <c r="L551" i="3"/>
  <c r="M551" i="3" s="1"/>
  <c r="L555" i="3"/>
  <c r="M555" i="3" s="1"/>
  <c r="L562" i="3"/>
  <c r="M562" i="3" s="1"/>
  <c r="L569" i="3"/>
  <c r="M569" i="3" s="1"/>
  <c r="L570" i="3"/>
  <c r="M570" i="3" s="1"/>
  <c r="L577" i="3"/>
  <c r="M577" i="3" s="1"/>
  <c r="L583" i="3"/>
  <c r="M583" i="3" s="1"/>
  <c r="L299" i="3"/>
  <c r="M299" i="3" s="1"/>
  <c r="L28" i="3"/>
  <c r="M28" i="3" s="1"/>
  <c r="L31" i="3"/>
  <c r="M31" i="3" s="1"/>
  <c r="L33" i="3"/>
  <c r="M33" i="3" s="1"/>
  <c r="L34" i="3"/>
  <c r="M34" i="3" s="1"/>
  <c r="L36" i="3"/>
  <c r="M36" i="3" s="1"/>
  <c r="L37" i="3"/>
  <c r="M37" i="3" s="1"/>
  <c r="L93" i="3"/>
  <c r="M93" i="3" s="1"/>
  <c r="L95" i="3"/>
  <c r="M95" i="3" s="1"/>
  <c r="L96" i="3"/>
  <c r="M96" i="3" s="1"/>
  <c r="L97" i="3"/>
  <c r="M97" i="3" s="1"/>
  <c r="L107" i="3"/>
  <c r="M107" i="3" s="1"/>
  <c r="L111" i="3"/>
  <c r="M111" i="3" s="1"/>
  <c r="L112" i="3"/>
  <c r="M112" i="3" s="1"/>
  <c r="L113" i="3"/>
  <c r="M113" i="3" s="1"/>
  <c r="L115" i="3"/>
  <c r="M115" i="3" s="1"/>
  <c r="L116" i="3"/>
  <c r="M116" i="3" s="1"/>
  <c r="L117" i="3"/>
  <c r="M117" i="3" s="1"/>
  <c r="L153" i="3"/>
  <c r="M153" i="3" s="1"/>
  <c r="L191" i="3"/>
  <c r="M191" i="3" s="1"/>
  <c r="L194" i="3"/>
  <c r="M194" i="3" s="1"/>
  <c r="L195" i="3"/>
  <c r="M195" i="3" s="1"/>
  <c r="L196" i="3"/>
  <c r="L201" i="3"/>
  <c r="M201" i="3" s="1"/>
  <c r="L205" i="3"/>
  <c r="M205" i="3" s="1"/>
  <c r="L206" i="3"/>
  <c r="M206" i="3" s="1"/>
  <c r="L207" i="3"/>
  <c r="M207" i="3" s="1"/>
  <c r="L477" i="3"/>
  <c r="M477" i="3" s="1"/>
  <c r="L485" i="3"/>
  <c r="M485" i="3" s="1"/>
  <c r="L493" i="3"/>
  <c r="M493" i="3" s="1"/>
  <c r="L501" i="3"/>
  <c r="M501" i="3" s="1"/>
  <c r="L589" i="3"/>
  <c r="M589" i="3" s="1"/>
  <c r="L591" i="3"/>
  <c r="M591" i="3" s="1"/>
  <c r="L613" i="3"/>
  <c r="M613" i="3" s="1"/>
  <c r="L615" i="3"/>
  <c r="M615" i="3" s="1"/>
  <c r="L623" i="3"/>
  <c r="M623" i="3" s="1"/>
  <c r="L631" i="3"/>
  <c r="M631" i="3" s="1"/>
  <c r="L636" i="3"/>
  <c r="M636" i="3" s="1"/>
  <c r="L637" i="3"/>
  <c r="M637" i="3" s="1"/>
  <c r="L638" i="3"/>
  <c r="M638" i="3" s="1"/>
  <c r="L639" i="3"/>
  <c r="M639" i="3" s="1"/>
  <c r="L654" i="3"/>
  <c r="M654" i="3" s="1"/>
  <c r="L655" i="3"/>
  <c r="M655" i="3" s="1"/>
  <c r="L656" i="3"/>
  <c r="M656" i="3" s="1"/>
  <c r="L657" i="3"/>
  <c r="M657" i="3" s="1"/>
  <c r="L222" i="3"/>
  <c r="M222" i="3" s="1"/>
  <c r="L223" i="3"/>
  <c r="M223" i="3" s="1"/>
  <c r="L230" i="3"/>
  <c r="M230" i="3" s="1"/>
  <c r="L231" i="3"/>
  <c r="M231" i="3" s="1"/>
  <c r="L232" i="3"/>
  <c r="M232" i="3" s="1"/>
  <c r="L233" i="3"/>
  <c r="M233" i="3" s="1"/>
  <c r="L249" i="3"/>
  <c r="M249" i="3" s="1"/>
  <c r="L252" i="3"/>
  <c r="M252" i="3" s="1"/>
  <c r="L253" i="3"/>
  <c r="M253" i="3" s="1"/>
  <c r="L258" i="3"/>
  <c r="M258" i="3" s="1"/>
  <c r="L259" i="3"/>
  <c r="M259" i="3" s="1"/>
  <c r="L260" i="3"/>
  <c r="M260" i="3" s="1"/>
  <c r="L262" i="3"/>
  <c r="M262" i="3" s="1"/>
  <c r="L263" i="3"/>
  <c r="M263" i="3" s="1"/>
  <c r="L264" i="3"/>
  <c r="M264" i="3" s="1"/>
  <c r="L265" i="3"/>
  <c r="M265" i="3" s="1"/>
  <c r="L741" i="3"/>
  <c r="M741" i="3" s="1"/>
  <c r="L743" i="3"/>
  <c r="M743" i="3" s="1"/>
  <c r="L77" i="3"/>
  <c r="M77" i="3" s="1"/>
  <c r="L85" i="3"/>
  <c r="M85" i="3" s="1"/>
  <c r="L135" i="3"/>
  <c r="M135" i="3" s="1"/>
  <c r="L136" i="3"/>
  <c r="M136" i="3" s="1"/>
  <c r="L137" i="3"/>
  <c r="M137" i="3" s="1"/>
  <c r="L145" i="3"/>
  <c r="M145" i="3" s="1"/>
  <c r="L146" i="3"/>
  <c r="M146" i="3" s="1"/>
  <c r="L147" i="3"/>
  <c r="M147" i="3" s="1"/>
  <c r="L148" i="3"/>
  <c r="M148" i="3" s="1"/>
  <c r="L181" i="3"/>
  <c r="M181" i="3" s="1"/>
  <c r="L185" i="3"/>
  <c r="M185" i="3" s="1"/>
  <c r="L243" i="3"/>
  <c r="M243" i="3" s="1"/>
  <c r="L301" i="3"/>
  <c r="M301" i="3" s="1"/>
  <c r="L305" i="3"/>
  <c r="M305" i="3" s="1"/>
  <c r="L509" i="3"/>
  <c r="M509" i="3" s="1"/>
  <c r="L517" i="3"/>
  <c r="M517" i="3" s="1"/>
  <c r="L525" i="3"/>
  <c r="M525" i="3" s="1"/>
  <c r="L533" i="3"/>
  <c r="M533" i="3" s="1"/>
  <c r="L687" i="3"/>
  <c r="M687" i="3" s="1"/>
  <c r="L735" i="3"/>
  <c r="M735" i="3" s="1"/>
  <c r="J25" i="1"/>
  <c r="A36" i="1"/>
  <c r="L4" i="3"/>
  <c r="M4" i="3" s="1"/>
  <c r="L18" i="3"/>
  <c r="M18" i="3" s="1"/>
  <c r="L58" i="3"/>
  <c r="M58" i="3" s="1"/>
  <c r="L60" i="3"/>
  <c r="M60" i="3" s="1"/>
  <c r="L67" i="3"/>
  <c r="M67" i="3" s="1"/>
  <c r="L69" i="3"/>
  <c r="M69" i="3" s="1"/>
  <c r="L72" i="3"/>
  <c r="M72" i="3" s="1"/>
  <c r="L166" i="3"/>
  <c r="M166" i="3" s="1"/>
  <c r="L167" i="3"/>
  <c r="M167" i="3" s="1"/>
  <c r="L168" i="3"/>
  <c r="M168" i="3" s="1"/>
  <c r="L173" i="3"/>
  <c r="M173" i="3" s="1"/>
  <c r="L174" i="3"/>
  <c r="M174" i="3" s="1"/>
  <c r="L175" i="3"/>
  <c r="M175" i="3" s="1"/>
  <c r="L177" i="3"/>
  <c r="M177" i="3" s="1"/>
  <c r="L178" i="3"/>
  <c r="M178" i="3" s="1"/>
  <c r="L269" i="3"/>
  <c r="M269" i="3" s="1"/>
  <c r="L273" i="3"/>
  <c r="M273" i="3" s="1"/>
  <c r="L389" i="3"/>
  <c r="M389" i="3" s="1"/>
  <c r="L599" i="3"/>
  <c r="M599" i="3" s="1"/>
  <c r="L605" i="3"/>
  <c r="M605" i="3" s="1"/>
  <c r="L609" i="3"/>
  <c r="M609" i="3" s="1"/>
  <c r="M196" i="3"/>
  <c r="H32" i="1"/>
  <c r="L47" i="3"/>
  <c r="M47" i="3" s="1"/>
  <c r="L49" i="3"/>
  <c r="M49" i="3" s="1"/>
  <c r="L221" i="3"/>
  <c r="M221" i="3" s="1"/>
  <c r="L281" i="3"/>
  <c r="M281" i="3" s="1"/>
  <c r="A25" i="1"/>
  <c r="J29" i="1"/>
  <c r="L5" i="3"/>
  <c r="M5" i="3" s="1"/>
  <c r="L12" i="3"/>
  <c r="M12" i="3" s="1"/>
  <c r="L13" i="3"/>
  <c r="M13" i="3" s="1"/>
  <c r="L15" i="3"/>
  <c r="M15" i="3" s="1"/>
  <c r="L17" i="3"/>
  <c r="M17" i="3" s="1"/>
  <c r="L317" i="3"/>
  <c r="M317" i="3" s="1"/>
  <c r="L403" i="3"/>
  <c r="M403" i="3" s="1"/>
  <c r="L541" i="3"/>
  <c r="M541" i="3" s="1"/>
  <c r="L549" i="3"/>
  <c r="M549" i="3" s="1"/>
  <c r="L557" i="3"/>
  <c r="M557" i="3" s="1"/>
  <c r="L561" i="3"/>
  <c r="M561" i="3" s="1"/>
  <c r="L564" i="3"/>
  <c r="M564" i="3" s="1"/>
  <c r="L747" i="3"/>
  <c r="M747" i="3" s="1"/>
  <c r="L749" i="3"/>
  <c r="M749" i="3" s="1"/>
  <c r="L20" i="3"/>
  <c r="M20" i="3" s="1"/>
  <c r="L26" i="3"/>
  <c r="M26" i="3" s="1"/>
  <c r="L61" i="3"/>
  <c r="M61" i="3" s="1"/>
  <c r="L65" i="3"/>
  <c r="M65" i="3" s="1"/>
  <c r="L75" i="3"/>
  <c r="M75" i="3" s="1"/>
  <c r="L101" i="3"/>
  <c r="M101" i="3" s="1"/>
  <c r="L105" i="3"/>
  <c r="M105" i="3" s="1"/>
  <c r="L119" i="3"/>
  <c r="M119" i="3" s="1"/>
  <c r="L139" i="3"/>
  <c r="M139" i="3" s="1"/>
  <c r="L143" i="3"/>
  <c r="M143" i="3" s="1"/>
  <c r="L152" i="3"/>
  <c r="M152" i="3" s="1"/>
  <c r="L169" i="3"/>
  <c r="M169" i="3" s="1"/>
  <c r="L180" i="3"/>
  <c r="M180" i="3" s="1"/>
  <c r="L197" i="3"/>
  <c r="M197" i="3" s="1"/>
  <c r="L209" i="3"/>
  <c r="M209" i="3" s="1"/>
  <c r="L210" i="3"/>
  <c r="M210" i="3" s="1"/>
  <c r="L237" i="3"/>
  <c r="M237" i="3" s="1"/>
  <c r="L238" i="3"/>
  <c r="M238" i="3" s="1"/>
  <c r="L255" i="3"/>
  <c r="M255" i="3" s="1"/>
  <c r="L266" i="3"/>
  <c r="M266" i="3" s="1"/>
  <c r="L285" i="3"/>
  <c r="M285" i="3" s="1"/>
  <c r="L289" i="3"/>
  <c r="M289" i="3" s="1"/>
  <c r="L298" i="3"/>
  <c r="M298" i="3" s="1"/>
  <c r="L325" i="3"/>
  <c r="M325" i="3" s="1"/>
  <c r="L329" i="3"/>
  <c r="M329" i="3" s="1"/>
  <c r="L339" i="3"/>
  <c r="M339" i="3" s="1"/>
  <c r="L353" i="3"/>
  <c r="M353" i="3" s="1"/>
  <c r="L357" i="3"/>
  <c r="M357" i="3" s="1"/>
  <c r="L359" i="3"/>
  <c r="M359" i="3" s="1"/>
  <c r="L364" i="3"/>
  <c r="M364" i="3" s="1"/>
  <c r="L365" i="3"/>
  <c r="M365" i="3" s="1"/>
  <c r="L367" i="3"/>
  <c r="M367" i="3" s="1"/>
  <c r="L368" i="3"/>
  <c r="M368" i="3" s="1"/>
  <c r="L435" i="3"/>
  <c r="M435" i="3" s="1"/>
  <c r="L443" i="3"/>
  <c r="M443" i="3" s="1"/>
  <c r="L471" i="3"/>
  <c r="M471" i="3" s="1"/>
  <c r="L475" i="3"/>
  <c r="M475" i="3" s="1"/>
  <c r="L481" i="3"/>
  <c r="M481" i="3" s="1"/>
  <c r="L487" i="3"/>
  <c r="M487" i="3" s="1"/>
  <c r="L491" i="3"/>
  <c r="M491" i="3" s="1"/>
  <c r="L497" i="3"/>
  <c r="M497" i="3" s="1"/>
  <c r="L572" i="3"/>
  <c r="M572" i="3" s="1"/>
  <c r="L575" i="3"/>
  <c r="M575" i="3" s="1"/>
  <c r="L578" i="3"/>
  <c r="M578" i="3" s="1"/>
  <c r="L585" i="3"/>
  <c r="M585" i="3" s="1"/>
  <c r="L590" i="3"/>
  <c r="M590" i="3" s="1"/>
  <c r="L643" i="3"/>
  <c r="M643" i="3" s="1"/>
  <c r="L665" i="3"/>
  <c r="M665" i="3" s="1"/>
  <c r="L666" i="3"/>
  <c r="M666" i="3" s="1"/>
  <c r="L667" i="3"/>
  <c r="M667" i="3" s="1"/>
  <c r="L672" i="3"/>
  <c r="M672" i="3" s="1"/>
  <c r="L673" i="3"/>
  <c r="M673" i="3" s="1"/>
  <c r="L675" i="3"/>
  <c r="M675" i="3" s="1"/>
  <c r="L50" i="3"/>
  <c r="M50" i="3" s="1"/>
  <c r="L53" i="3"/>
  <c r="M53" i="3" s="1"/>
  <c r="L55" i="3"/>
  <c r="M55" i="3" s="1"/>
  <c r="L57" i="3"/>
  <c r="M57" i="3" s="1"/>
  <c r="L87" i="3"/>
  <c r="M87" i="3" s="1"/>
  <c r="L91" i="3"/>
  <c r="M91" i="3" s="1"/>
  <c r="L92" i="3"/>
  <c r="M92" i="3" s="1"/>
  <c r="L127" i="3"/>
  <c r="M127" i="3" s="1"/>
  <c r="L128" i="3"/>
  <c r="M128" i="3" s="1"/>
  <c r="L129" i="3"/>
  <c r="M129" i="3" s="1"/>
  <c r="L132" i="3"/>
  <c r="M132" i="3" s="1"/>
  <c r="L133" i="3"/>
  <c r="M133" i="3" s="1"/>
  <c r="L134" i="3"/>
  <c r="M134" i="3" s="1"/>
  <c r="L158" i="3"/>
  <c r="M158" i="3" s="1"/>
  <c r="L159" i="3"/>
  <c r="M159" i="3" s="1"/>
  <c r="L162" i="3"/>
  <c r="M162" i="3" s="1"/>
  <c r="L163" i="3"/>
  <c r="M163" i="3" s="1"/>
  <c r="L164" i="3"/>
  <c r="M164" i="3" s="1"/>
  <c r="L188" i="3"/>
  <c r="M188" i="3" s="1"/>
  <c r="L189" i="3"/>
  <c r="M189" i="3" s="1"/>
  <c r="L190" i="3"/>
  <c r="M190" i="3" s="1"/>
  <c r="L216" i="3"/>
  <c r="M216" i="3" s="1"/>
  <c r="L217" i="3"/>
  <c r="M217" i="3" s="1"/>
  <c r="L220" i="3"/>
  <c r="M220" i="3" s="1"/>
  <c r="L244" i="3"/>
  <c r="M244" i="3" s="1"/>
  <c r="L248" i="3"/>
  <c r="M248" i="3" s="1"/>
  <c r="L274" i="3"/>
  <c r="M274" i="3" s="1"/>
  <c r="L275" i="3"/>
  <c r="M275" i="3" s="1"/>
  <c r="L278" i="3"/>
  <c r="M278" i="3" s="1"/>
  <c r="L279" i="3"/>
  <c r="M279" i="3" s="1"/>
  <c r="L280" i="3"/>
  <c r="M280" i="3" s="1"/>
  <c r="L306" i="3"/>
  <c r="M306" i="3" s="1"/>
  <c r="L307" i="3"/>
  <c r="M307" i="3" s="1"/>
  <c r="L310" i="3"/>
  <c r="M310" i="3" s="1"/>
  <c r="L311" i="3"/>
  <c r="M311" i="3" s="1"/>
  <c r="L371" i="3"/>
  <c r="M371" i="3" s="1"/>
  <c r="L373" i="3"/>
  <c r="M373" i="3" s="1"/>
  <c r="L378" i="3"/>
  <c r="M378" i="3" s="1"/>
  <c r="L379" i="3"/>
  <c r="M379" i="3" s="1"/>
  <c r="L386" i="3"/>
  <c r="M386" i="3" s="1"/>
  <c r="L387" i="3"/>
  <c r="M387" i="3" s="1"/>
  <c r="L393" i="3"/>
  <c r="M393" i="3" s="1"/>
  <c r="L503" i="3"/>
  <c r="M503" i="3" s="1"/>
  <c r="L507" i="3"/>
  <c r="M507" i="3" s="1"/>
  <c r="L513" i="3"/>
  <c r="M513" i="3" s="1"/>
  <c r="L519" i="3"/>
  <c r="M519" i="3" s="1"/>
  <c r="L523" i="3"/>
  <c r="M523" i="3" s="1"/>
  <c r="L529" i="3"/>
  <c r="M529" i="3" s="1"/>
  <c r="L598" i="3"/>
  <c r="M598" i="3" s="1"/>
  <c r="L607" i="3"/>
  <c r="M607" i="3" s="1"/>
  <c r="L682" i="3"/>
  <c r="M682" i="3" s="1"/>
  <c r="L683" i="3"/>
  <c r="M683" i="3" s="1"/>
  <c r="L684" i="3"/>
  <c r="M684" i="3" s="1"/>
  <c r="L685" i="3"/>
  <c r="M685" i="3" s="1"/>
  <c r="L690" i="3"/>
  <c r="M690" i="3" s="1"/>
  <c r="L691" i="3"/>
  <c r="M691" i="3" s="1"/>
  <c r="L693" i="3"/>
  <c r="M693" i="3" s="1"/>
  <c r="L694" i="3"/>
  <c r="M694" i="3" s="1"/>
  <c r="L695" i="3"/>
  <c r="M695" i="3" s="1"/>
  <c r="L701" i="3"/>
  <c r="M701" i="3" s="1"/>
  <c r="L703" i="3"/>
  <c r="M703" i="3" s="1"/>
  <c r="L705" i="3"/>
  <c r="M705" i="3" s="1"/>
  <c r="L707" i="3"/>
  <c r="M707" i="3" s="1"/>
  <c r="L711" i="3"/>
  <c r="M711" i="3" s="1"/>
  <c r="L721" i="3"/>
  <c r="M721" i="3" s="1"/>
  <c r="L723" i="3"/>
  <c r="M723" i="3" s="1"/>
  <c r="L725" i="3"/>
  <c r="M725" i="3" s="1"/>
  <c r="L727" i="3"/>
  <c r="M727" i="3" s="1"/>
  <c r="L729" i="3"/>
  <c r="M729" i="3" s="1"/>
  <c r="L731" i="3"/>
  <c r="M731" i="3" s="1"/>
  <c r="T4" i="2"/>
  <c r="O25" i="1" s="1"/>
  <c r="L187" i="3"/>
  <c r="M187" i="3" s="1"/>
  <c r="L25" i="1"/>
  <c r="L29" i="3"/>
  <c r="M29" i="3" s="1"/>
  <c r="L52" i="3"/>
  <c r="M52" i="3" s="1"/>
  <c r="L89" i="3"/>
  <c r="M89" i="3" s="1"/>
  <c r="L109" i="3"/>
  <c r="M109" i="3" s="1"/>
  <c r="L131" i="3"/>
  <c r="M131" i="3" s="1"/>
  <c r="L203" i="3"/>
  <c r="M203" i="3" s="1"/>
  <c r="L219" i="3"/>
  <c r="M219" i="3" s="1"/>
  <c r="L245" i="3"/>
  <c r="M245" i="3" s="1"/>
  <c r="L261" i="3"/>
  <c r="M261" i="3" s="1"/>
  <c r="L277" i="3"/>
  <c r="M277" i="3" s="1"/>
  <c r="L293" i="3"/>
  <c r="M293" i="3" s="1"/>
  <c r="L309" i="3"/>
  <c r="M309" i="3" s="1"/>
  <c r="L171" i="3"/>
  <c r="M171" i="3" s="1"/>
  <c r="L213" i="3"/>
  <c r="M213" i="3" s="1"/>
  <c r="L229" i="3"/>
  <c r="M229" i="3" s="1"/>
  <c r="K30" i="1"/>
  <c r="H34" i="1"/>
  <c r="H35" i="1"/>
  <c r="J41" i="1"/>
  <c r="L6" i="3"/>
  <c r="M6" i="3" s="1"/>
  <c r="L8" i="3"/>
  <c r="M8" i="3" s="1"/>
  <c r="L10" i="3"/>
  <c r="M10" i="3" s="1"/>
  <c r="H31" i="1"/>
  <c r="H39" i="1"/>
  <c r="L23" i="3"/>
  <c r="M23" i="3" s="1"/>
  <c r="L25" i="3"/>
  <c r="M25" i="3" s="1"/>
  <c r="L83" i="3"/>
  <c r="M83" i="3" s="1"/>
  <c r="L84" i="3"/>
  <c r="M84" i="3" s="1"/>
  <c r="L104" i="3"/>
  <c r="M104" i="3" s="1"/>
  <c r="L124" i="3"/>
  <c r="M124" i="3" s="1"/>
  <c r="L141" i="3"/>
  <c r="M141" i="3" s="1"/>
  <c r="L142" i="3"/>
  <c r="M142" i="3" s="1"/>
  <c r="L149" i="3"/>
  <c r="M149" i="3" s="1"/>
  <c r="L156" i="3"/>
  <c r="M156" i="3" s="1"/>
  <c r="L165" i="3"/>
  <c r="M165" i="3" s="1"/>
  <c r="L184" i="3"/>
  <c r="M184" i="3" s="1"/>
  <c r="L198" i="3"/>
  <c r="M198" i="3" s="1"/>
  <c r="L199" i="3"/>
  <c r="M199" i="3" s="1"/>
  <c r="L200" i="3"/>
  <c r="M200" i="3" s="1"/>
  <c r="L212" i="3"/>
  <c r="M212" i="3" s="1"/>
  <c r="L226" i="3"/>
  <c r="M226" i="3" s="1"/>
  <c r="L227" i="3"/>
  <c r="M227" i="3" s="1"/>
  <c r="L228" i="3"/>
  <c r="M228" i="3" s="1"/>
  <c r="L235" i="3"/>
  <c r="M235" i="3" s="1"/>
  <c r="L241" i="3"/>
  <c r="M241" i="3" s="1"/>
  <c r="L242" i="3"/>
  <c r="M242" i="3" s="1"/>
  <c r="L251" i="3"/>
  <c r="M251" i="3" s="1"/>
  <c r="L254" i="3"/>
  <c r="M254" i="3" s="1"/>
  <c r="L272" i="3"/>
  <c r="M272" i="3" s="1"/>
  <c r="L288" i="3"/>
  <c r="M288" i="3" s="1"/>
  <c r="L304" i="3"/>
  <c r="M304" i="3" s="1"/>
  <c r="L320" i="3"/>
  <c r="M320" i="3" s="1"/>
  <c r="L338" i="3"/>
  <c r="M338" i="3" s="1"/>
  <c r="L347" i="3"/>
  <c r="M347" i="3" s="1"/>
  <c r="L354" i="3"/>
  <c r="M354" i="3" s="1"/>
  <c r="L361" i="3"/>
  <c r="M361" i="3" s="1"/>
  <c r="L380" i="3"/>
  <c r="M380" i="3" s="1"/>
  <c r="L381" i="3"/>
  <c r="M381" i="3" s="1"/>
  <c r="L383" i="3"/>
  <c r="M383" i="3" s="1"/>
  <c r="L384" i="3"/>
  <c r="M384" i="3" s="1"/>
  <c r="L394" i="3"/>
  <c r="M394" i="3" s="1"/>
  <c r="L405" i="3"/>
  <c r="M405" i="3" s="1"/>
  <c r="L419" i="3"/>
  <c r="M419" i="3" s="1"/>
  <c r="L424" i="3"/>
  <c r="M424" i="3" s="1"/>
  <c r="L437" i="3"/>
  <c r="M437" i="3" s="1"/>
  <c r="L444" i="3"/>
  <c r="M444" i="3" s="1"/>
  <c r="L445" i="3"/>
  <c r="M445" i="3" s="1"/>
  <c r="L447" i="3"/>
  <c r="M447" i="3" s="1"/>
  <c r="L448" i="3"/>
  <c r="M448" i="3" s="1"/>
  <c r="L449" i="3"/>
  <c r="M449" i="3" s="1"/>
  <c r="L450" i="3"/>
  <c r="M450" i="3" s="1"/>
  <c r="L457" i="3"/>
  <c r="M457" i="3" s="1"/>
  <c r="L467" i="3"/>
  <c r="M467" i="3" s="1"/>
  <c r="L479" i="3"/>
  <c r="M479" i="3" s="1"/>
  <c r="L480" i="3"/>
  <c r="M480" i="3" s="1"/>
  <c r="L489" i="3"/>
  <c r="M489" i="3" s="1"/>
  <c r="L490" i="3"/>
  <c r="M490" i="3" s="1"/>
  <c r="L499" i="3"/>
  <c r="M499" i="3" s="1"/>
  <c r="L500" i="3"/>
  <c r="M500" i="3" s="1"/>
  <c r="L511" i="3"/>
  <c r="M511" i="3" s="1"/>
  <c r="L512" i="3"/>
  <c r="M512" i="3" s="1"/>
  <c r="L521" i="3"/>
  <c r="M521" i="3" s="1"/>
  <c r="L522" i="3"/>
  <c r="M522" i="3" s="1"/>
  <c r="L531" i="3"/>
  <c r="M531" i="3" s="1"/>
  <c r="L532" i="3"/>
  <c r="M532" i="3" s="1"/>
  <c r="L543" i="3"/>
  <c r="M543" i="3" s="1"/>
  <c r="L544" i="3"/>
  <c r="M544" i="3" s="1"/>
  <c r="L553" i="3"/>
  <c r="M553" i="3" s="1"/>
  <c r="L554" i="3"/>
  <c r="M554" i="3" s="1"/>
  <c r="L567" i="3"/>
  <c r="M567" i="3" s="1"/>
  <c r="L580" i="3"/>
  <c r="M580" i="3" s="1"/>
  <c r="L592" i="3"/>
  <c r="M592" i="3" s="1"/>
  <c r="L593" i="3"/>
  <c r="M593" i="3" s="1"/>
  <c r="L595" i="3"/>
  <c r="M595" i="3" s="1"/>
  <c r="L596" i="3"/>
  <c r="M596" i="3" s="1"/>
  <c r="L611" i="3"/>
  <c r="M611" i="3" s="1"/>
  <c r="L612" i="3"/>
  <c r="M612" i="3" s="1"/>
  <c r="L626" i="3"/>
  <c r="M626" i="3" s="1"/>
  <c r="L627" i="3"/>
  <c r="M627" i="3" s="1"/>
  <c r="L629" i="3"/>
  <c r="M629" i="3" s="1"/>
  <c r="L630" i="3"/>
  <c r="M630" i="3" s="1"/>
  <c r="L671" i="3"/>
  <c r="M671" i="3" s="1"/>
  <c r="L677" i="3"/>
  <c r="M677" i="3" s="1"/>
  <c r="L678" i="3"/>
  <c r="M678" i="3" s="1"/>
  <c r="L697" i="3"/>
  <c r="M697" i="3" s="1"/>
  <c r="L719" i="3"/>
  <c r="M719" i="3" s="1"/>
  <c r="L745" i="3"/>
  <c r="M745" i="3" s="1"/>
  <c r="L312" i="3"/>
  <c r="M312" i="3" s="1"/>
  <c r="L326" i="3"/>
  <c r="M326" i="3" s="1"/>
  <c r="L327" i="3"/>
  <c r="M327" i="3" s="1"/>
  <c r="L328" i="3"/>
  <c r="M328" i="3" s="1"/>
  <c r="L341" i="3"/>
  <c r="M341" i="3" s="1"/>
  <c r="L355" i="3"/>
  <c r="M355" i="3" s="1"/>
  <c r="L360" i="3"/>
  <c r="M360" i="3" s="1"/>
  <c r="L375" i="3"/>
  <c r="M375" i="3" s="1"/>
  <c r="L385" i="3"/>
  <c r="M385" i="3" s="1"/>
  <c r="L411" i="3"/>
  <c r="M411" i="3" s="1"/>
  <c r="L418" i="3"/>
  <c r="M418" i="3" s="1"/>
  <c r="L425" i="3"/>
  <c r="M425" i="3" s="1"/>
  <c r="L451" i="3"/>
  <c r="M451" i="3" s="1"/>
  <c r="L456" i="3"/>
  <c r="M456" i="3" s="1"/>
  <c r="L473" i="3"/>
  <c r="M473" i="3" s="1"/>
  <c r="L474" i="3"/>
  <c r="M474" i="3" s="1"/>
  <c r="L483" i="3"/>
  <c r="M483" i="3" s="1"/>
  <c r="L484" i="3"/>
  <c r="M484" i="3" s="1"/>
  <c r="L495" i="3"/>
  <c r="M495" i="3" s="1"/>
  <c r="L496" i="3"/>
  <c r="M496" i="3" s="1"/>
  <c r="L505" i="3"/>
  <c r="M505" i="3" s="1"/>
  <c r="L506" i="3"/>
  <c r="M506" i="3" s="1"/>
  <c r="L515" i="3"/>
  <c r="M515" i="3" s="1"/>
  <c r="L516" i="3"/>
  <c r="M516" i="3" s="1"/>
  <c r="L527" i="3"/>
  <c r="M527" i="3" s="1"/>
  <c r="L528" i="3"/>
  <c r="M528" i="3" s="1"/>
  <c r="L537" i="3"/>
  <c r="M537" i="3" s="1"/>
  <c r="L538" i="3"/>
  <c r="M538" i="3" s="1"/>
  <c r="L547" i="3"/>
  <c r="M547" i="3" s="1"/>
  <c r="L548" i="3"/>
  <c r="M548" i="3" s="1"/>
  <c r="L559" i="3"/>
  <c r="M559" i="3" s="1"/>
  <c r="L560" i="3"/>
  <c r="M560" i="3" s="1"/>
  <c r="L574" i="3"/>
  <c r="M574" i="3" s="1"/>
  <c r="L588" i="3"/>
  <c r="M588" i="3" s="1"/>
  <c r="L600" i="3"/>
  <c r="M600" i="3" s="1"/>
  <c r="L601" i="3"/>
  <c r="M601" i="3" s="1"/>
  <c r="L603" i="3"/>
  <c r="M603" i="3" s="1"/>
  <c r="L604" i="3"/>
  <c r="M604" i="3" s="1"/>
  <c r="L618" i="3"/>
  <c r="M618" i="3" s="1"/>
  <c r="L619" i="3"/>
  <c r="M619" i="3" s="1"/>
  <c r="L620" i="3"/>
  <c r="M620" i="3" s="1"/>
  <c r="L621" i="3"/>
  <c r="M621" i="3" s="1"/>
  <c r="L640" i="3"/>
  <c r="M640" i="3" s="1"/>
  <c r="L645" i="3"/>
  <c r="M645" i="3" s="1"/>
  <c r="L646" i="3"/>
  <c r="M646" i="3" s="1"/>
  <c r="L647" i="3"/>
  <c r="M647" i="3" s="1"/>
  <c r="L649" i="3"/>
  <c r="M649" i="3" s="1"/>
  <c r="L663" i="3"/>
  <c r="M663" i="3" s="1"/>
  <c r="L668" i="3"/>
  <c r="M668" i="3" s="1"/>
  <c r="L669" i="3"/>
  <c r="M669" i="3" s="1"/>
  <c r="L686" i="3"/>
  <c r="M686" i="3" s="1"/>
  <c r="L713" i="3"/>
  <c r="M713" i="3" s="1"/>
  <c r="L715" i="3"/>
  <c r="M715" i="3" s="1"/>
  <c r="L739" i="3"/>
  <c r="M739" i="3" s="1"/>
  <c r="A32" i="1"/>
  <c r="T21" i="2"/>
  <c r="O36" i="1" s="1"/>
  <c r="H36" i="1"/>
  <c r="L30" i="3"/>
  <c r="M30" i="3" s="1"/>
  <c r="L32" i="3"/>
  <c r="M32" i="3" s="1"/>
  <c r="T14" i="2"/>
  <c r="O37" i="1" s="1"/>
  <c r="H37" i="1"/>
  <c r="A35" i="1"/>
  <c r="L35" i="1"/>
  <c r="H24" i="1"/>
  <c r="K36" i="1"/>
  <c r="O29" i="1"/>
  <c r="H29" i="1"/>
  <c r="L2" i="3"/>
  <c r="M2" i="3" s="1"/>
  <c r="L21" i="3"/>
  <c r="M21" i="3" s="1"/>
  <c r="L44" i="3"/>
  <c r="M44" i="3" s="1"/>
  <c r="L63" i="3"/>
  <c r="M63" i="3" s="1"/>
  <c r="L64" i="3"/>
  <c r="M64" i="3" s="1"/>
  <c r="L79" i="3"/>
  <c r="M79" i="3" s="1"/>
  <c r="L80" i="3"/>
  <c r="M80" i="3" s="1"/>
  <c r="L81" i="3"/>
  <c r="M81" i="3" s="1"/>
  <c r="L103" i="3"/>
  <c r="M103" i="3" s="1"/>
  <c r="L123" i="3"/>
  <c r="M123" i="3" s="1"/>
  <c r="L140" i="3"/>
  <c r="M140" i="3" s="1"/>
  <c r="L150" i="3"/>
  <c r="M150" i="3" s="1"/>
  <c r="L151" i="3"/>
  <c r="M151" i="3" s="1"/>
  <c r="L161" i="3"/>
  <c r="M161" i="3" s="1"/>
  <c r="L172" i="3"/>
  <c r="M172" i="3" s="1"/>
  <c r="L182" i="3"/>
  <c r="M182" i="3" s="1"/>
  <c r="L183" i="3"/>
  <c r="M183" i="3" s="1"/>
  <c r="L193" i="3"/>
  <c r="M193" i="3" s="1"/>
  <c r="L204" i="3"/>
  <c r="M204" i="3" s="1"/>
  <c r="L214" i="3"/>
  <c r="M214" i="3" s="1"/>
  <c r="L215" i="3"/>
  <c r="M215" i="3" s="1"/>
  <c r="L225" i="3"/>
  <c r="M225" i="3" s="1"/>
  <c r="L236" i="3"/>
  <c r="M236" i="3" s="1"/>
  <c r="L246" i="3"/>
  <c r="M246" i="3" s="1"/>
  <c r="L247" i="3"/>
  <c r="M247" i="3" s="1"/>
  <c r="L257" i="3"/>
  <c r="M257" i="3" s="1"/>
  <c r="L270" i="3"/>
  <c r="M270" i="3" s="1"/>
  <c r="L271" i="3"/>
  <c r="M271" i="3" s="1"/>
  <c r="L286" i="3"/>
  <c r="M286" i="3" s="1"/>
  <c r="L287" i="3"/>
  <c r="M287" i="3" s="1"/>
  <c r="L302" i="3"/>
  <c r="M302" i="3" s="1"/>
  <c r="L303" i="3"/>
  <c r="M303" i="3" s="1"/>
  <c r="L318" i="3"/>
  <c r="M318" i="3" s="1"/>
  <c r="L319" i="3"/>
  <c r="M319" i="3" s="1"/>
  <c r="L337" i="3"/>
  <c r="M337" i="3" s="1"/>
  <c r="L348" i="3"/>
  <c r="M348" i="3" s="1"/>
  <c r="L349" i="3"/>
  <c r="M349" i="3" s="1"/>
  <c r="L351" i="3"/>
  <c r="M351" i="3" s="1"/>
  <c r="L352" i="3"/>
  <c r="M352" i="3" s="1"/>
  <c r="L362" i="3"/>
  <c r="M362" i="3" s="1"/>
  <c r="L363" i="3"/>
  <c r="M363" i="3" s="1"/>
  <c r="L377" i="3"/>
  <c r="M377" i="3" s="1"/>
  <c r="L392" i="3"/>
  <c r="M392" i="3" s="1"/>
  <c r="L407" i="3"/>
  <c r="M407" i="3" s="1"/>
  <c r="L421" i="3"/>
  <c r="M421" i="3" s="1"/>
  <c r="A34" i="1"/>
  <c r="L22" i="3"/>
  <c r="M22" i="3" s="1"/>
  <c r="L24" i="3"/>
  <c r="M24" i="3" s="1"/>
  <c r="L56" i="3"/>
  <c r="M56" i="3" s="1"/>
  <c r="A33" i="1"/>
  <c r="A29" i="1"/>
  <c r="L7" i="3"/>
  <c r="M7" i="3" s="1"/>
  <c r="L9" i="3"/>
  <c r="M9" i="3" s="1"/>
  <c r="L16" i="3"/>
  <c r="M16" i="3" s="1"/>
  <c r="L39" i="3"/>
  <c r="M39" i="3" s="1"/>
  <c r="L41" i="3"/>
  <c r="M41" i="3" s="1"/>
  <c r="L46" i="3"/>
  <c r="M46" i="3" s="1"/>
  <c r="L48" i="3"/>
  <c r="M48" i="3" s="1"/>
  <c r="L71" i="3"/>
  <c r="M71" i="3" s="1"/>
  <c r="L76" i="3"/>
  <c r="M76" i="3" s="1"/>
  <c r="L88" i="3"/>
  <c r="M88" i="3" s="1"/>
  <c r="L99" i="3"/>
  <c r="M99" i="3" s="1"/>
  <c r="L100" i="3"/>
  <c r="M100" i="3" s="1"/>
  <c r="L108" i="3"/>
  <c r="M108" i="3" s="1"/>
  <c r="L120" i="3"/>
  <c r="M120" i="3" s="1"/>
  <c r="L130" i="3"/>
  <c r="M130" i="3" s="1"/>
  <c r="L138" i="3"/>
  <c r="M138" i="3" s="1"/>
  <c r="L144" i="3"/>
  <c r="M144" i="3" s="1"/>
  <c r="L154" i="3"/>
  <c r="M154" i="3" s="1"/>
  <c r="L160" i="3"/>
  <c r="M160" i="3" s="1"/>
  <c r="L170" i="3"/>
  <c r="M170" i="3" s="1"/>
  <c r="L176" i="3"/>
  <c r="M176" i="3" s="1"/>
  <c r="L186" i="3"/>
  <c r="M186" i="3" s="1"/>
  <c r="L192" i="3"/>
  <c r="M192" i="3" s="1"/>
  <c r="L202" i="3"/>
  <c r="M202" i="3" s="1"/>
  <c r="L208" i="3"/>
  <c r="M208" i="3" s="1"/>
  <c r="L218" i="3"/>
  <c r="M218" i="3" s="1"/>
  <c r="L224" i="3"/>
  <c r="M224" i="3" s="1"/>
  <c r="L234" i="3"/>
  <c r="M234" i="3" s="1"/>
  <c r="L240" i="3"/>
  <c r="M240" i="3" s="1"/>
  <c r="L250" i="3"/>
  <c r="M250" i="3" s="1"/>
  <c r="L256" i="3"/>
  <c r="M256" i="3" s="1"/>
  <c r="L268" i="3"/>
  <c r="M268" i="3" s="1"/>
  <c r="L276" i="3"/>
  <c r="M276" i="3" s="1"/>
  <c r="L284" i="3"/>
  <c r="M284" i="3" s="1"/>
  <c r="L292" i="3"/>
  <c r="M292" i="3" s="1"/>
  <c r="L300" i="3"/>
  <c r="M300" i="3" s="1"/>
  <c r="L308" i="3"/>
  <c r="M308" i="3" s="1"/>
  <c r="L316" i="3"/>
  <c r="M316" i="3" s="1"/>
  <c r="L324" i="3"/>
  <c r="M324" i="3" s="1"/>
  <c r="L332" i="3"/>
  <c r="M332" i="3" s="1"/>
  <c r="L333" i="3"/>
  <c r="M333" i="3" s="1"/>
  <c r="L335" i="3"/>
  <c r="M335" i="3" s="1"/>
  <c r="L336" i="3"/>
  <c r="M336" i="3" s="1"/>
  <c r="L346" i="3"/>
  <c r="M346" i="3" s="1"/>
  <c r="L370" i="3"/>
  <c r="M370" i="3" s="1"/>
  <c r="L376" i="3"/>
  <c r="M376" i="3" s="1"/>
  <c r="L391" i="3"/>
  <c r="M391" i="3" s="1"/>
  <c r="L396" i="3"/>
  <c r="M396" i="3" s="1"/>
  <c r="L397" i="3"/>
  <c r="M397" i="3" s="1"/>
  <c r="L399" i="3"/>
  <c r="M399" i="3" s="1"/>
  <c r="L400" i="3"/>
  <c r="M400" i="3" s="1"/>
  <c r="L410" i="3"/>
  <c r="M410" i="3" s="1"/>
  <c r="L674" i="3"/>
  <c r="M674" i="3" s="1"/>
  <c r="L709" i="3"/>
  <c r="M709" i="3" s="1"/>
  <c r="L622" i="3"/>
  <c r="M622" i="3" s="1"/>
  <c r="L633" i="3"/>
  <c r="M633" i="3" s="1"/>
  <c r="L641" i="3"/>
  <c r="M641" i="3" s="1"/>
  <c r="L650" i="3"/>
  <c r="M650" i="3" s="1"/>
  <c r="L651" i="3"/>
  <c r="M651" i="3" s="1"/>
  <c r="L658" i="3"/>
  <c r="M658" i="3" s="1"/>
  <c r="L733" i="3"/>
  <c r="M733" i="3" s="1"/>
  <c r="L431" i="3"/>
  <c r="M431" i="3" s="1"/>
  <c r="L432" i="3"/>
  <c r="M432" i="3" s="1"/>
  <c r="L442" i="3"/>
  <c r="M442" i="3" s="1"/>
  <c r="L466" i="3"/>
  <c r="M466" i="3" s="1"/>
  <c r="L472" i="3"/>
  <c r="M472" i="3" s="1"/>
  <c r="L476" i="3"/>
  <c r="M476" i="3" s="1"/>
  <c r="L482" i="3"/>
  <c r="M482" i="3" s="1"/>
  <c r="L488" i="3"/>
  <c r="M488" i="3" s="1"/>
  <c r="L492" i="3"/>
  <c r="M492" i="3" s="1"/>
  <c r="L498" i="3"/>
  <c r="M498" i="3" s="1"/>
  <c r="L504" i="3"/>
  <c r="M504" i="3" s="1"/>
  <c r="L508" i="3"/>
  <c r="M508" i="3" s="1"/>
  <c r="L514" i="3"/>
  <c r="M514" i="3" s="1"/>
  <c r="L520" i="3"/>
  <c r="M520" i="3" s="1"/>
  <c r="L524" i="3"/>
  <c r="M524" i="3" s="1"/>
  <c r="L530" i="3"/>
  <c r="M530" i="3" s="1"/>
  <c r="L536" i="3"/>
  <c r="M536" i="3" s="1"/>
  <c r="L540" i="3"/>
  <c r="M540" i="3" s="1"/>
  <c r="L546" i="3"/>
  <c r="M546" i="3" s="1"/>
  <c r="L552" i="3"/>
  <c r="M552" i="3" s="1"/>
  <c r="L556" i="3"/>
  <c r="M556" i="3" s="1"/>
  <c r="L587" i="3"/>
  <c r="M587" i="3" s="1"/>
  <c r="L608" i="3"/>
  <c r="M608" i="3" s="1"/>
  <c r="L617" i="3"/>
  <c r="M617" i="3" s="1"/>
  <c r="L624" i="3"/>
  <c r="M624" i="3" s="1"/>
  <c r="L625" i="3"/>
  <c r="M625" i="3" s="1"/>
  <c r="L634" i="3"/>
  <c r="M634" i="3" s="1"/>
  <c r="L635" i="3"/>
  <c r="M635" i="3" s="1"/>
  <c r="L642" i="3"/>
  <c r="M642" i="3" s="1"/>
  <c r="L652" i="3"/>
  <c r="M652" i="3" s="1"/>
  <c r="L653" i="3"/>
  <c r="M653" i="3" s="1"/>
  <c r="L661" i="3"/>
  <c r="M661" i="3" s="1"/>
  <c r="L662" i="3"/>
  <c r="M662" i="3" s="1"/>
  <c r="L670" i="3"/>
  <c r="M670" i="3" s="1"/>
  <c r="L681" i="3"/>
  <c r="M681" i="3" s="1"/>
  <c r="L688" i="3"/>
  <c r="M688" i="3" s="1"/>
  <c r="L689" i="3"/>
  <c r="M689" i="3" s="1"/>
  <c r="L699" i="3"/>
  <c r="M699" i="3" s="1"/>
  <c r="L717" i="3"/>
  <c r="M717" i="3" s="1"/>
  <c r="L737" i="3"/>
  <c r="M737" i="3" s="1"/>
  <c r="L751" i="3"/>
  <c r="M751" i="3" s="1"/>
  <c r="L27" i="1"/>
  <c r="L40" i="1"/>
  <c r="A40" i="1"/>
  <c r="L28" i="1"/>
  <c r="A28" i="1"/>
  <c r="A41" i="1"/>
  <c r="L41" i="1"/>
  <c r="A42" i="1"/>
  <c r="L42" i="1"/>
  <c r="L33" i="1"/>
  <c r="U22" i="2"/>
  <c r="P22" i="1" s="1"/>
  <c r="V22" i="2"/>
  <c r="Q22" i="1" s="1"/>
  <c r="O22" i="1"/>
  <c r="L3" i="3"/>
  <c r="M3" i="3" s="1"/>
  <c r="L11" i="3"/>
  <c r="M11" i="3" s="1"/>
  <c r="L19" i="3"/>
  <c r="M19" i="3" s="1"/>
  <c r="L27" i="3"/>
  <c r="M27" i="3" s="1"/>
  <c r="L35" i="3"/>
  <c r="M35" i="3" s="1"/>
  <c r="L43" i="3"/>
  <c r="M43" i="3" s="1"/>
  <c r="L51" i="3"/>
  <c r="M51" i="3" s="1"/>
  <c r="L59" i="3"/>
  <c r="M59" i="3" s="1"/>
  <c r="Q7" i="2"/>
  <c r="X7" i="2" s="1"/>
  <c r="T9" i="2"/>
  <c r="O40" i="1" s="1"/>
  <c r="T16" i="2"/>
  <c r="O28" i="1" s="1"/>
  <c r="K33" i="1"/>
  <c r="A39" i="1"/>
  <c r="H42" i="1"/>
  <c r="T2" i="2"/>
  <c r="A38" i="1"/>
  <c r="H41" i="1"/>
  <c r="L14" i="3"/>
  <c r="M14" i="3" s="1"/>
  <c r="L54" i="3"/>
  <c r="M54" i="3" s="1"/>
  <c r="L68" i="3"/>
  <c r="M68" i="3" s="1"/>
  <c r="K29" i="1"/>
  <c r="H30" i="1"/>
  <c r="A37" i="1"/>
  <c r="L66" i="3"/>
  <c r="M66" i="3" s="1"/>
  <c r="L74" i="3"/>
  <c r="M74" i="3" s="1"/>
  <c r="L82" i="3"/>
  <c r="M82" i="3" s="1"/>
  <c r="L90" i="3"/>
  <c r="M90" i="3" s="1"/>
  <c r="L98" i="3"/>
  <c r="M98" i="3" s="1"/>
  <c r="L106" i="3"/>
  <c r="M106" i="3" s="1"/>
  <c r="L114" i="3"/>
  <c r="M114" i="3" s="1"/>
  <c r="L122" i="3"/>
  <c r="M122" i="3" s="1"/>
  <c r="L340" i="3"/>
  <c r="M340" i="3" s="1"/>
  <c r="L372" i="3"/>
  <c r="M372" i="3" s="1"/>
  <c r="L404" i="3"/>
  <c r="M404" i="3" s="1"/>
  <c r="L436" i="3"/>
  <c r="M436" i="3" s="1"/>
  <c r="L468" i="3"/>
  <c r="M468" i="3" s="1"/>
  <c r="L571" i="3"/>
  <c r="M571" i="3" s="1"/>
  <c r="L565" i="3"/>
  <c r="M565" i="3" s="1"/>
  <c r="L62" i="3"/>
  <c r="M62" i="3" s="1"/>
  <c r="L70" i="3"/>
  <c r="M70" i="3" s="1"/>
  <c r="L78" i="3"/>
  <c r="M78" i="3" s="1"/>
  <c r="L86" i="3"/>
  <c r="M86" i="3" s="1"/>
  <c r="L94" i="3"/>
  <c r="M94" i="3" s="1"/>
  <c r="L102" i="3"/>
  <c r="M102" i="3" s="1"/>
  <c r="L110" i="3"/>
  <c r="M110" i="3" s="1"/>
  <c r="L118" i="3"/>
  <c r="M118" i="3" s="1"/>
  <c r="L126" i="3"/>
  <c r="M126" i="3" s="1"/>
  <c r="L356" i="3"/>
  <c r="M356" i="3" s="1"/>
  <c r="L388" i="3"/>
  <c r="M388" i="3" s="1"/>
  <c r="L420" i="3"/>
  <c r="M420" i="3" s="1"/>
  <c r="L452" i="3"/>
  <c r="M452" i="3" s="1"/>
  <c r="L576" i="3"/>
  <c r="M576" i="3" s="1"/>
  <c r="L581" i="3"/>
  <c r="M581" i="3" s="1"/>
  <c r="L748" i="3"/>
  <c r="M748" i="3" s="1"/>
  <c r="L704" i="3"/>
  <c r="M704" i="3" s="1"/>
  <c r="L720" i="3"/>
  <c r="M720" i="3" s="1"/>
  <c r="L736" i="3"/>
  <c r="M736" i="3" s="1"/>
  <c r="L563" i="3"/>
  <c r="M563" i="3" s="1"/>
  <c r="L568" i="3"/>
  <c r="M568" i="3" s="1"/>
  <c r="L573" i="3"/>
  <c r="M573" i="3" s="1"/>
  <c r="L579" i="3"/>
  <c r="M579" i="3" s="1"/>
  <c r="L334" i="3"/>
  <c r="M334" i="3" s="1"/>
  <c r="L342" i="3"/>
  <c r="M342" i="3" s="1"/>
  <c r="L350" i="3"/>
  <c r="M350" i="3" s="1"/>
  <c r="L358" i="3"/>
  <c r="M358" i="3" s="1"/>
  <c r="L366" i="3"/>
  <c r="M366" i="3" s="1"/>
  <c r="L374" i="3"/>
  <c r="M374" i="3" s="1"/>
  <c r="L382" i="3"/>
  <c r="M382" i="3" s="1"/>
  <c r="L390" i="3"/>
  <c r="M390" i="3" s="1"/>
  <c r="L398" i="3"/>
  <c r="M398" i="3" s="1"/>
  <c r="L406" i="3"/>
  <c r="M406" i="3" s="1"/>
  <c r="L414" i="3"/>
  <c r="M414" i="3" s="1"/>
  <c r="L422" i="3"/>
  <c r="M422" i="3" s="1"/>
  <c r="L430" i="3"/>
  <c r="M430" i="3" s="1"/>
  <c r="L438" i="3"/>
  <c r="M438" i="3" s="1"/>
  <c r="L446" i="3"/>
  <c r="M446" i="3" s="1"/>
  <c r="L454" i="3"/>
  <c r="M454" i="3" s="1"/>
  <c r="L462" i="3"/>
  <c r="M462" i="3" s="1"/>
  <c r="L470" i="3"/>
  <c r="M470" i="3" s="1"/>
  <c r="L478" i="3"/>
  <c r="M478" i="3" s="1"/>
  <c r="L486" i="3"/>
  <c r="M486" i="3" s="1"/>
  <c r="L494" i="3"/>
  <c r="M494" i="3" s="1"/>
  <c r="L502" i="3"/>
  <c r="M502" i="3" s="1"/>
  <c r="L510" i="3"/>
  <c r="M510" i="3" s="1"/>
  <c r="L518" i="3"/>
  <c r="M518" i="3" s="1"/>
  <c r="L526" i="3"/>
  <c r="M526" i="3" s="1"/>
  <c r="L534" i="3"/>
  <c r="M534" i="3" s="1"/>
  <c r="L542" i="3"/>
  <c r="M542" i="3" s="1"/>
  <c r="L550" i="3"/>
  <c r="M550" i="3" s="1"/>
  <c r="L558" i="3"/>
  <c r="M558" i="3" s="1"/>
  <c r="L566" i="3"/>
  <c r="M566" i="3" s="1"/>
  <c r="L582" i="3"/>
  <c r="M582" i="3" s="1"/>
  <c r="L614" i="3"/>
  <c r="M614" i="3" s="1"/>
  <c r="L628" i="3"/>
  <c r="M628" i="3" s="1"/>
  <c r="L644" i="3"/>
  <c r="M644" i="3" s="1"/>
  <c r="L660" i="3"/>
  <c r="M660" i="3" s="1"/>
  <c r="L676" i="3"/>
  <c r="M676" i="3" s="1"/>
  <c r="L692" i="3"/>
  <c r="M692" i="3" s="1"/>
  <c r="L712" i="3"/>
  <c r="M712" i="3" s="1"/>
  <c r="L728" i="3"/>
  <c r="M728" i="3" s="1"/>
  <c r="L740" i="3"/>
  <c r="M740" i="3" s="1"/>
  <c r="L584" i="3"/>
  <c r="M584" i="3" s="1"/>
  <c r="L606" i="3"/>
  <c r="M606" i="3" s="1"/>
  <c r="L616" i="3"/>
  <c r="M616" i="3" s="1"/>
  <c r="L632" i="3"/>
  <c r="M632" i="3" s="1"/>
  <c r="L648" i="3"/>
  <c r="M648" i="3" s="1"/>
  <c r="L664" i="3"/>
  <c r="M664" i="3" s="1"/>
  <c r="L680" i="3"/>
  <c r="M680" i="3" s="1"/>
  <c r="L696" i="3"/>
  <c r="M696" i="3" s="1"/>
  <c r="L700" i="3"/>
  <c r="M700" i="3" s="1"/>
  <c r="L708" i="3"/>
  <c r="M708" i="3" s="1"/>
  <c r="L716" i="3"/>
  <c r="M716" i="3" s="1"/>
  <c r="L724" i="3"/>
  <c r="M724" i="3" s="1"/>
  <c r="L732" i="3"/>
  <c r="M732" i="3" s="1"/>
  <c r="L744" i="3"/>
  <c r="M744" i="3" s="1"/>
  <c r="L750" i="3"/>
  <c r="M750" i="3" s="1"/>
  <c r="L586" i="3"/>
  <c r="M586" i="3" s="1"/>
  <c r="L594" i="3"/>
  <c r="M594" i="3" s="1"/>
  <c r="L602" i="3"/>
  <c r="M602" i="3" s="1"/>
  <c r="L610" i="3"/>
  <c r="M610" i="3" s="1"/>
  <c r="L698" i="3"/>
  <c r="M698" i="3" s="1"/>
  <c r="L702" i="3"/>
  <c r="M702" i="3" s="1"/>
  <c r="L706" i="3"/>
  <c r="M706" i="3" s="1"/>
  <c r="L710" i="3"/>
  <c r="M710" i="3" s="1"/>
  <c r="L714" i="3"/>
  <c r="M714" i="3" s="1"/>
  <c r="L718" i="3"/>
  <c r="M718" i="3" s="1"/>
  <c r="L722" i="3"/>
  <c r="M722" i="3" s="1"/>
  <c r="L726" i="3"/>
  <c r="M726" i="3" s="1"/>
  <c r="L730" i="3"/>
  <c r="M730" i="3" s="1"/>
  <c r="L734" i="3"/>
  <c r="M734" i="3" s="1"/>
  <c r="L738" i="3"/>
  <c r="M738" i="3" s="1"/>
  <c r="L742" i="3"/>
  <c r="M742" i="3" s="1"/>
  <c r="L746" i="3"/>
  <c r="M746" i="3" s="1"/>
  <c r="W10" i="2" l="1"/>
  <c r="Y10" i="2" s="1"/>
  <c r="X10" i="2"/>
  <c r="A26" i="1"/>
  <c r="A30" i="1"/>
  <c r="X3" i="2"/>
  <c r="W3" i="2"/>
  <c r="Y3" i="2" s="1"/>
  <c r="Y2" i="2"/>
  <c r="B17" i="1"/>
  <c r="B18" i="1"/>
  <c r="B16" i="1"/>
  <c r="B15" i="1"/>
  <c r="B14" i="1"/>
  <c r="C14" i="1"/>
  <c r="S5" i="1"/>
  <c r="C17" i="1"/>
  <c r="C18" i="1"/>
  <c r="C16" i="1"/>
  <c r="C15" i="1"/>
  <c r="W7" i="2"/>
  <c r="S15" i="2"/>
  <c r="V15" i="2" s="1"/>
  <c r="Q34" i="1" s="1"/>
  <c r="S17" i="2"/>
  <c r="V17" i="2" s="1"/>
  <c r="Q35" i="1" s="1"/>
  <c r="S9" i="2"/>
  <c r="S10" i="2"/>
  <c r="S7" i="2"/>
  <c r="S12" i="2"/>
  <c r="S20" i="2"/>
  <c r="S18" i="2"/>
  <c r="S5" i="2"/>
  <c r="S8" i="2"/>
  <c r="U8" i="2" s="1"/>
  <c r="M31" i="1"/>
  <c r="A31" i="1"/>
  <c r="S19" i="2"/>
  <c r="E9" i="1"/>
  <c r="O33" i="1"/>
  <c r="S4" i="2"/>
  <c r="S21" i="2"/>
  <c r="S3" i="2"/>
  <c r="S6" i="2"/>
  <c r="S2" i="2"/>
  <c r="S13" i="2"/>
  <c r="S11" i="2"/>
  <c r="S16" i="2"/>
  <c r="S14" i="2"/>
  <c r="Y7" i="2" l="1"/>
  <c r="R14" i="1" s="1"/>
  <c r="M15" i="1"/>
  <c r="M18" i="1"/>
  <c r="M17" i="1"/>
  <c r="M16" i="1"/>
  <c r="M14" i="1"/>
  <c r="U15" i="2"/>
  <c r="P34" i="1" s="1"/>
  <c r="N34" i="1"/>
  <c r="N35" i="1"/>
  <c r="A9" i="1"/>
  <c r="U17" i="2"/>
  <c r="P35" i="1" s="1"/>
  <c r="V6" i="2"/>
  <c r="Q32" i="1" s="1"/>
  <c r="N32" i="1"/>
  <c r="U6" i="2"/>
  <c r="P32" i="1" s="1"/>
  <c r="V9" i="2"/>
  <c r="Q40" i="1" s="1"/>
  <c r="N40" i="1"/>
  <c r="U9" i="2"/>
  <c r="P40" i="1" s="1"/>
  <c r="U14" i="2"/>
  <c r="P37" i="1" s="1"/>
  <c r="V14" i="2"/>
  <c r="Q37" i="1" s="1"/>
  <c r="N37" i="1"/>
  <c r="V20" i="2"/>
  <c r="Q27" i="1" s="1"/>
  <c r="N27" i="1"/>
  <c r="U20" i="2"/>
  <c r="P27" i="1" s="1"/>
  <c r="N28" i="1"/>
  <c r="V16" i="2"/>
  <c r="Q28" i="1" s="1"/>
  <c r="U16" i="2"/>
  <c r="P28" i="1" s="1"/>
  <c r="N36" i="1"/>
  <c r="U21" i="2"/>
  <c r="P36" i="1" s="1"/>
  <c r="V21" i="2"/>
  <c r="Q36" i="1" s="1"/>
  <c r="V19" i="2"/>
  <c r="Q24" i="1" s="1"/>
  <c r="U19" i="2"/>
  <c r="P24" i="1" s="1"/>
  <c r="N24" i="1"/>
  <c r="V8" i="2"/>
  <c r="Q29" i="1" s="1"/>
  <c r="P29" i="1"/>
  <c r="N29" i="1"/>
  <c r="N42" i="1"/>
  <c r="V12" i="2"/>
  <c r="Q42" i="1" s="1"/>
  <c r="U12" i="2"/>
  <c r="P42" i="1" s="1"/>
  <c r="N23" i="1"/>
  <c r="U13" i="2"/>
  <c r="P23" i="1" s="1"/>
  <c r="V13" i="2"/>
  <c r="Q23" i="1" s="1"/>
  <c r="U18" i="2"/>
  <c r="P38" i="1" s="1"/>
  <c r="N38" i="1"/>
  <c r="V18" i="2"/>
  <c r="Q38" i="1" s="1"/>
  <c r="U10" i="2"/>
  <c r="P26" i="1" s="1"/>
  <c r="N26" i="1"/>
  <c r="V10" i="2"/>
  <c r="Q26" i="1" s="1"/>
  <c r="N30" i="1"/>
  <c r="U3" i="2"/>
  <c r="P30" i="1" s="1"/>
  <c r="V3" i="2"/>
  <c r="Q30" i="1" s="1"/>
  <c r="V11" i="2"/>
  <c r="Q39" i="1" s="1"/>
  <c r="U11" i="2"/>
  <c r="P39" i="1" s="1"/>
  <c r="N39" i="1"/>
  <c r="V2" i="2"/>
  <c r="N16" i="1"/>
  <c r="N33" i="1"/>
  <c r="N17" i="1"/>
  <c r="U2" i="2"/>
  <c r="N15" i="1"/>
  <c r="N18" i="1"/>
  <c r="N14" i="1"/>
  <c r="V4" i="2"/>
  <c r="Q25" i="1" s="1"/>
  <c r="U4" i="2"/>
  <c r="P25" i="1" s="1"/>
  <c r="N25" i="1"/>
  <c r="V5" i="2"/>
  <c r="Q41" i="1" s="1"/>
  <c r="U5" i="2"/>
  <c r="P41" i="1" s="1"/>
  <c r="N41" i="1"/>
  <c r="U7" i="2"/>
  <c r="P31" i="1" s="1"/>
  <c r="N31" i="1"/>
  <c r="V7" i="2"/>
  <c r="Q31" i="1" s="1"/>
  <c r="M9" i="1" l="1"/>
  <c r="Q14" i="1"/>
  <c r="S14" i="1" s="1"/>
  <c r="Q17" i="1"/>
  <c r="S17" i="1" s="1"/>
  <c r="Q18" i="1"/>
  <c r="S18" i="1" s="1"/>
  <c r="Q15" i="1"/>
  <c r="S15" i="1" s="1"/>
  <c r="Q16" i="1"/>
  <c r="S16" i="1" s="1"/>
  <c r="R16" i="1"/>
  <c r="R17" i="1"/>
  <c r="R18" i="1"/>
  <c r="R15" i="1"/>
  <c r="I9" i="1"/>
  <c r="H14" i="1"/>
  <c r="I14" i="1"/>
  <c r="H16" i="1"/>
  <c r="H18" i="1"/>
  <c r="H17" i="1"/>
  <c r="H15" i="1"/>
  <c r="I18" i="1"/>
  <c r="P33" i="1"/>
  <c r="I17" i="1"/>
  <c r="I16" i="1"/>
  <c r="I15" i="1"/>
  <c r="Q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<sst xmlns="http://schemas.openxmlformats.org/spreadsheetml/2006/main" count="1382" uniqueCount="213">
  <si>
    <t>Etiquetas de fila</t>
  </si>
  <si>
    <t>Suma de Distancia (km)</t>
  </si>
  <si>
    <t>Suma de PRECIO2</t>
  </si>
  <si>
    <t>Suma de PRECIO</t>
  </si>
  <si>
    <t>CAMPO CERRILLOS</t>
  </si>
  <si>
    <t>CAMPO PAINE</t>
  </si>
  <si>
    <t>mar</t>
  </si>
  <si>
    <t>CAMPO RULO</t>
  </si>
  <si>
    <t>abr</t>
  </si>
  <si>
    <t>GONZALO GUERRERO</t>
  </si>
  <si>
    <t>may</t>
  </si>
  <si>
    <t>RODRIGO SALINAS</t>
  </si>
  <si>
    <t>Total general</t>
  </si>
  <si>
    <t>SERGIO ROJAS</t>
  </si>
  <si>
    <t>T10</t>
  </si>
  <si>
    <t>T11</t>
  </si>
  <si>
    <t>CAMIONETA</t>
  </si>
  <si>
    <t>T12</t>
  </si>
  <si>
    <t>BENCINA</t>
  </si>
  <si>
    <t>T13</t>
  </si>
  <si>
    <t>PETRÓLEO</t>
  </si>
  <si>
    <t>T14</t>
  </si>
  <si>
    <t>TRACTOR</t>
  </si>
  <si>
    <t>T4</t>
  </si>
  <si>
    <t>T5</t>
  </si>
  <si>
    <t>T6</t>
  </si>
  <si>
    <t>T7</t>
  </si>
  <si>
    <t>T8</t>
  </si>
  <si>
    <t>T9</t>
  </si>
  <si>
    <t>TA01</t>
  </si>
  <si>
    <t>TA02</t>
  </si>
  <si>
    <t>VG CERRILLOS</t>
  </si>
  <si>
    <t>VG GERARDO</t>
  </si>
  <si>
    <t>VG PIÑALEO</t>
  </si>
  <si>
    <t>CONTROL FLOTA - AGRÍCOLA SAN JOSÉ</t>
  </si>
  <si>
    <t>FECHA ACTUAL:</t>
  </si>
  <si>
    <t>FLOTA TOTAL</t>
  </si>
  <si>
    <t>OPERATIVAS</t>
  </si>
  <si>
    <t>EN MANTENCIÓN</t>
  </si>
  <si>
    <t>ARRIENDO</t>
  </si>
  <si>
    <t>FUERA DE SERVICIO</t>
  </si>
  <si>
    <t>RT VENCIDAS</t>
  </si>
  <si>
    <t>RT PRÓX. 30 DÍAS</t>
  </si>
  <si>
    <t>GASES VENCIDOS</t>
  </si>
  <si>
    <t>GASES PRÓX. 30 DÍAS</t>
  </si>
  <si>
    <t>CAMBIO ACEITE PRÓX.</t>
  </si>
  <si>
    <t>Unidades</t>
  </si>
  <si>
    <t>Crítico</t>
  </si>
  <si>
    <t>Seguimiento</t>
  </si>
  <si>
    <t>GASTO COMBUSTIBLE</t>
  </si>
  <si>
    <t>GASTO MANTENCIÓN</t>
  </si>
  <si>
    <t>COSTO TOTAL</t>
  </si>
  <si>
    <t>COSTO PROMEDIO POR KM</t>
  </si>
  <si>
    <t>KM TOTALES FLOTA</t>
  </si>
  <si>
    <t>Total año</t>
  </si>
  <si>
    <t>Promedio general</t>
  </si>
  <si>
    <t>Total acumulado</t>
  </si>
  <si>
    <t>TOP 5 MAYOR COSTO TOTAL</t>
  </si>
  <si>
    <t>TOP 5 GASTO COMBUSTIBLE</t>
  </si>
  <si>
    <t>DISTRIBUCIÓN POR ESTADO</t>
  </si>
  <si>
    <t>Prioridad</t>
  </si>
  <si>
    <t>Alerta</t>
  </si>
  <si>
    <t>Detalle</t>
  </si>
  <si>
    <t>Estado</t>
  </si>
  <si>
    <t>Patente</t>
  </si>
  <si>
    <t>Costo total</t>
  </si>
  <si>
    <t>Gasto combustible</t>
  </si>
  <si>
    <t>OPERATIVA</t>
  </si>
  <si>
    <t>CONTROL OPERATIVO ORDENADO POR PRIORIDAD</t>
  </si>
  <si>
    <t>Tipo</t>
  </si>
  <si>
    <t>Marca</t>
  </si>
  <si>
    <t>Modelo</t>
  </si>
  <si>
    <t>Año</t>
  </si>
  <si>
    <t>Responsable</t>
  </si>
  <si>
    <t>Ubicación</t>
  </si>
  <si>
    <t>KM Actual</t>
  </si>
  <si>
    <t>RT días</t>
  </si>
  <si>
    <t>Gases días</t>
  </si>
  <si>
    <t>Cambio aceite (km)</t>
  </si>
  <si>
    <t>Gasto Comb.</t>
  </si>
  <si>
    <t>Gasto Mant.</t>
  </si>
  <si>
    <t>Costo Total</t>
  </si>
  <si>
    <t>Costo por KM</t>
  </si>
  <si>
    <t>Maquinaria</t>
  </si>
  <si>
    <t>Ubic.</t>
  </si>
  <si>
    <t>Nota</t>
  </si>
  <si>
    <t>Nota: los KPI se calculan desde la hoja DATOS. Si cambias datos, usa F9 / Datos &gt; Actualizar todo.</t>
  </si>
  <si>
    <t>TIPO VEHICULO</t>
  </si>
  <si>
    <t>UBICACIÓN</t>
  </si>
  <si>
    <t>RESPONSABLE</t>
  </si>
  <si>
    <t>MAQUINARIA</t>
  </si>
  <si>
    <t>MARCA</t>
  </si>
  <si>
    <t>MODELO</t>
  </si>
  <si>
    <t>AÑO FABRICACIÓN</t>
  </si>
  <si>
    <t>PATENTE</t>
  </si>
  <si>
    <t>KM DE comienzo</t>
  </si>
  <si>
    <t>KM</t>
  </si>
  <si>
    <t>KM ACTUAL</t>
  </si>
  <si>
    <t>REVISION TECNICA</t>
  </si>
  <si>
    <t>ESTADO DE RT</t>
  </si>
  <si>
    <t>GASES Y CONTAMINANTES</t>
  </si>
  <si>
    <t>ESTADO GASES</t>
  </si>
  <si>
    <t>CAMBIO DE ACEITE</t>
  </si>
  <si>
    <t>ESTADO</t>
  </si>
  <si>
    <t>GASTO EN COMBUSTIBLES</t>
  </si>
  <si>
    <t>$ EN MANTENCIÓN</t>
  </si>
  <si>
    <t>COSTO X KM</t>
  </si>
  <si>
    <t>Vehiculo</t>
  </si>
  <si>
    <t>Rulo</t>
  </si>
  <si>
    <t>CMTA07</t>
  </si>
  <si>
    <t>Nissan</t>
  </si>
  <si>
    <t>Navara DC SE 2,3D</t>
  </si>
  <si>
    <t>RHYH23</t>
  </si>
  <si>
    <t>-</t>
  </si>
  <si>
    <t>CMTA03</t>
  </si>
  <si>
    <t>Volkswagen</t>
  </si>
  <si>
    <t>Saveiro</t>
  </si>
  <si>
    <t>KCTL49</t>
  </si>
  <si>
    <t>CMTA04</t>
  </si>
  <si>
    <t>KCTL47</t>
  </si>
  <si>
    <t>Cerrillos</t>
  </si>
  <si>
    <t>CMTA11</t>
  </si>
  <si>
    <t xml:space="preserve">Maxus </t>
  </si>
  <si>
    <t>T6 DCAB 4X2 2.0</t>
  </si>
  <si>
    <t>TTWS71</t>
  </si>
  <si>
    <t>Paine</t>
  </si>
  <si>
    <t>CMTA08</t>
  </si>
  <si>
    <t>RHYH16</t>
  </si>
  <si>
    <t>CMTA02</t>
  </si>
  <si>
    <t>NP300</t>
  </si>
  <si>
    <t>KBVX10</t>
  </si>
  <si>
    <t>CMTA01</t>
  </si>
  <si>
    <t>Mitsubishi</t>
  </si>
  <si>
    <t>L200 Katana</t>
  </si>
  <si>
    <t>GRTF64</t>
  </si>
  <si>
    <t>CMTA10</t>
  </si>
  <si>
    <t>TTWS70</t>
  </si>
  <si>
    <t>CMTA05</t>
  </si>
  <si>
    <t>KCTL48</t>
  </si>
  <si>
    <t>John Deere</t>
  </si>
  <si>
    <t>5085GL</t>
  </si>
  <si>
    <t>RDPG84</t>
  </si>
  <si>
    <t>Kubota</t>
  </si>
  <si>
    <t>M8540 N</t>
  </si>
  <si>
    <t>TZSG44</t>
  </si>
  <si>
    <t>New Holland</t>
  </si>
  <si>
    <t>T4030F</t>
  </si>
  <si>
    <t>CYPX-61</t>
  </si>
  <si>
    <t>Same</t>
  </si>
  <si>
    <t>FRUTTETO3 75</t>
  </si>
  <si>
    <t>JYJT-42</t>
  </si>
  <si>
    <t>T4030FWD</t>
  </si>
  <si>
    <t>CYPX-60</t>
  </si>
  <si>
    <t>LZPF54</t>
  </si>
  <si>
    <t>T4040F W FRUTER</t>
  </si>
  <si>
    <t>FDHD-57</t>
  </si>
  <si>
    <t>M8540DTN</t>
  </si>
  <si>
    <t>LWTR75</t>
  </si>
  <si>
    <t>JYJT-41</t>
  </si>
  <si>
    <t>LXFB96</t>
  </si>
  <si>
    <t>FRUTTETO 3 75 DT 46 NA</t>
  </si>
  <si>
    <t>JXXZ-54</t>
  </si>
  <si>
    <t>CMTA0</t>
  </si>
  <si>
    <t>Ssangyong</t>
  </si>
  <si>
    <t>Actyon</t>
  </si>
  <si>
    <t>JKVT20</t>
  </si>
  <si>
    <t>VEHICULO</t>
  </si>
  <si>
    <t>COMBUSTIBLE</t>
  </si>
  <si>
    <t>OPERADOR</t>
  </si>
  <si>
    <t>GPS</t>
  </si>
  <si>
    <t>Fecha</t>
  </si>
  <si>
    <t>Horas Motor (Hrs)</t>
  </si>
  <si>
    <t>Distancia (km)</t>
  </si>
  <si>
    <t>Disponibilidad</t>
  </si>
  <si>
    <t>Vel. Prom. (km/hr)</t>
  </si>
  <si>
    <t>Vel. Máx (km/hr)</t>
  </si>
  <si>
    <t>Uso (8 hrs)</t>
  </si>
  <si>
    <t>KM/LT</t>
  </si>
  <si>
    <t>PRECIO</t>
  </si>
  <si>
    <t>SEMANA/FIN</t>
  </si>
  <si>
    <t>KM/KTS CAMIONETA PETROLERA</t>
  </si>
  <si>
    <t>PRECIO PETRÓLEO</t>
  </si>
  <si>
    <t>KM/LTS TRACTOR</t>
  </si>
  <si>
    <t>PRECIO BENCINA</t>
  </si>
  <si>
    <t>KM/KTS CAMIONETA BENCINERA</t>
  </si>
  <si>
    <t>FECHA</t>
  </si>
  <si>
    <t>MONTO</t>
  </si>
  <si>
    <t>MOTIVO</t>
  </si>
  <si>
    <t>N° FACTURA</t>
  </si>
  <si>
    <t>SSANYONG</t>
  </si>
  <si>
    <t>POLIZA DE SEGURO</t>
  </si>
  <si>
    <t>PERMISO DE CIRCULACION</t>
  </si>
  <si>
    <t>GASTOS FIJOS</t>
  </si>
  <si>
    <t>$</t>
  </si>
  <si>
    <t>ALERTAS</t>
  </si>
  <si>
    <t>PRIORIDAD</t>
  </si>
  <si>
    <t>TOP 5 MAYOR COSTO MANTENCIÓN</t>
  </si>
  <si>
    <t>NOMBRE</t>
  </si>
  <si>
    <t>&lt; 500 km</t>
  </si>
  <si>
    <t>N</t>
  </si>
  <si>
    <t>Fin de semana</t>
  </si>
  <si>
    <t>Semana</t>
  </si>
  <si>
    <t>Valores</t>
  </si>
  <si>
    <t>Cuenta de Fecha</t>
  </si>
  <si>
    <t>ENCARGADO</t>
  </si>
  <si>
    <t>PROXIMO Cambio de aceite</t>
  </si>
  <si>
    <t>Columna1</t>
  </si>
  <si>
    <t>Maquina</t>
  </si>
  <si>
    <t>N°</t>
  </si>
  <si>
    <t>Costo</t>
  </si>
  <si>
    <t>BATERIA</t>
  </si>
  <si>
    <t>Suma de MONTO</t>
  </si>
  <si>
    <t>ARREGLO GASES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</si>
</sst>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 &quot;$&quot;* #,##0_ ;_ &quot;$&quot;* \-#,##0_ ;_ &quot;$&quot;* &quot;-&quot;_ ;_ @_ "/>
    <numFmt numFmtId="164" formatCode="&quot;$&quot;#,##0"/>
    <numFmt numFmtId="165" formatCode="0.00000"/>
    <numFmt numFmtId="166" formatCode="#,##0\ &quot;km&quot;"/>
    <numFmt numFmtId="167" formatCode="dd\-mm\-yyyy"/>
    <numFmt numFmtId="168" formatCode="\$#,##0"/>
    <numFmt numFmtId="169" formatCode="\$#,##0.00"/>
    <numFmt numFmtId="170" formatCode="0.0%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.5"/>
      <color theme="1"/>
      <name val="Aptos Narrow"/>
      <family val="2"/>
      <scheme val="minor"/>
    </font>
    <font>
      <sz val="9.5"/>
      <color theme="1"/>
      <name val="Aptos Display"/>
      <family val="2"/>
      <scheme val="maj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4B23"/>
      <name val="Aptos Narrow"/>
      <family val="2"/>
    </font>
    <font>
      <b/>
      <sz val="9"/>
      <color rgb="FF1F4E79"/>
      <name val="Aptos Narrow"/>
      <family val="2"/>
    </font>
    <font>
      <b/>
      <sz val="16"/>
      <color rgb="FF1F4E79"/>
      <name val="Aptos Narrow"/>
      <family val="2"/>
    </font>
    <font>
      <b/>
      <sz val="9"/>
      <color rgb="FF2E7D32"/>
      <name val="Aptos Narrow"/>
      <family val="2"/>
    </font>
    <font>
      <b/>
      <sz val="16"/>
      <color rgb="FF2E7D32"/>
      <name val="Aptos Narrow"/>
      <family val="2"/>
    </font>
    <font>
      <b/>
      <sz val="9"/>
      <color rgb="FFF4A000"/>
      <name val="Aptos Narrow"/>
      <family val="2"/>
    </font>
    <font>
      <b/>
      <sz val="16"/>
      <color rgb="FFF4A000"/>
      <name val="Aptos Narrow"/>
      <family val="2"/>
    </font>
    <font>
      <b/>
      <sz val="9"/>
      <color rgb="FFC00000"/>
      <name val="Aptos Narrow"/>
      <family val="2"/>
    </font>
    <font>
      <b/>
      <sz val="16"/>
      <color rgb="FFC00000"/>
      <name val="Aptos Narrow"/>
      <family val="2"/>
    </font>
    <font>
      <b/>
      <sz val="9"/>
      <color rgb="FF004B23"/>
      <name val="Aptos Narrow"/>
      <family val="2"/>
    </font>
    <font>
      <b/>
      <sz val="9"/>
      <color rgb="FFFFFFFF"/>
      <name val="Aptos Narrow"/>
      <family val="2"/>
    </font>
    <font>
      <b/>
      <sz val="16"/>
      <color rgb="FFFFFFFF"/>
      <name val="Aptos Narrow"/>
      <family val="2"/>
    </font>
    <font>
      <b/>
      <sz val="8"/>
      <color rgb="FFFFFFFF"/>
      <name val="Aptos Narrow"/>
      <family val="2"/>
    </font>
    <font>
      <b/>
      <sz val="11"/>
      <name val="Aptos Narrow"/>
      <family val="2"/>
    </font>
    <font>
      <i/>
      <sz val="11"/>
      <color rgb="FF666666"/>
      <name val="Aptos Narrow"/>
      <family val="2"/>
    </font>
    <font>
      <b/>
      <sz val="12"/>
      <color rgb="FF333333"/>
      <name val="Aptos Narrow"/>
      <family val="2"/>
    </font>
    <font>
      <b/>
      <sz val="12"/>
      <color theme="1"/>
      <name val="Aptos Narrow"/>
      <family val="2"/>
      <scheme val="minor"/>
    </font>
    <font>
      <sz val="9"/>
      <color rgb="FF333333"/>
      <name val="Aptos Narrow"/>
      <family val="2"/>
    </font>
    <font>
      <b/>
      <sz val="11"/>
      <color theme="1"/>
      <name val="Aptos Narrow"/>
      <family val="2"/>
      <scheme val="minor"/>
    </font>
    <font>
      <sz val="9"/>
      <color rgb="FFFF0000"/>
      <name val="Aptos Narrow"/>
      <family val="2"/>
    </font>
    <font>
      <sz val="9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FFFFFF"/>
      <name val="Aptos Narrow"/>
      <family val="2"/>
    </font>
    <font>
      <b/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4B23"/>
      </patternFill>
    </fill>
    <fill>
      <patternFill patternType="solid">
        <fgColor rgb="FFF1F8F1"/>
      </patternFill>
    </fill>
    <fill>
      <patternFill patternType="solid">
        <fgColor rgb="FFFFFFFF"/>
      </patternFill>
    </fill>
    <fill>
      <patternFill patternType="solid">
        <fgColor rgb="FFEAF5EA"/>
      </patternFill>
    </fill>
    <fill>
      <patternFill patternType="solid">
        <fgColor rgb="FFF4FBF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rgb="FFCFE8CF"/>
      </left>
      <right style="thin">
        <color rgb="FFCFE8CF"/>
      </right>
      <top style="thin">
        <color rgb="FFCFE8CF"/>
      </top>
      <bottom style="thin">
        <color rgb="FFCFE8CF"/>
      </bottom>
      <diagonal/>
    </border>
    <border>
      <left style="thin">
        <color rgb="FFCFE8CF"/>
      </left>
      <right style="thin">
        <color rgb="FFCFE8CF"/>
      </right>
      <top style="thin">
        <color rgb="FFCFE8CF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rgb="FFCFE8CF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9.9978637043366805E-2"/>
      </bottom>
      <diagonal/>
    </border>
  </borders>
  <cellStyleXfs count="3">
    <xf numFmtId="0" fontId="0" fillId="0" borderId="0"/>
    <xf numFmtId="42" fontId="1" fillId="0" borderId="0"/>
    <xf numFmtId="9" fontId="1" fillId="0" borderId="0"/>
  </cellStyleXfs>
  <cellXfs count="14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1" xfId="0" applyBorder="1"/>
    <xf numFmtId="164" fontId="0" fillId="0" borderId="0" xfId="0" applyNumberFormat="1"/>
    <xf numFmtId="0" fontId="0" fillId="4" borderId="1" xfId="0" applyFill="1" applyBorder="1"/>
    <xf numFmtId="0" fontId="0" fillId="2" borderId="1" xfId="0" applyFill="1" applyBorder="1"/>
    <xf numFmtId="164" fontId="0" fillId="2" borderId="1" xfId="1" applyNumberFormat="1" applyFont="1" applyFill="1" applyBorder="1"/>
    <xf numFmtId="164" fontId="0" fillId="5" borderId="1" xfId="0" applyNumberFormat="1" applyFill="1" applyBorder="1"/>
    <xf numFmtId="0" fontId="0" fillId="5" borderId="1" xfId="0" applyFill="1" applyBorder="1"/>
    <xf numFmtId="164" fontId="0" fillId="0" borderId="1" xfId="1" applyNumberFormat="1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pivotButton="1" applyFont="1"/>
    <xf numFmtId="164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1" fontId="0" fillId="0" borderId="0" xfId="2" applyNumberFormat="1" applyFont="1"/>
    <xf numFmtId="10" fontId="0" fillId="0" borderId="0" xfId="0" applyNumberFormat="1"/>
    <xf numFmtId="3" fontId="0" fillId="0" borderId="0" xfId="0" applyNumberForma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/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/>
    <xf numFmtId="0" fontId="4" fillId="0" borderId="3" xfId="0" applyFont="1" applyBorder="1"/>
    <xf numFmtId="0" fontId="5" fillId="0" borderId="3" xfId="0" applyFont="1" applyBorder="1"/>
    <xf numFmtId="0" fontId="4" fillId="0" borderId="3" xfId="0" applyFont="1" applyBorder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3" fontId="4" fillId="0" borderId="3" xfId="0" applyNumberFormat="1" applyFont="1" applyBorder="1"/>
    <xf numFmtId="166" fontId="4" fillId="0" borderId="3" xfId="0" applyNumberFormat="1" applyFont="1" applyBorder="1"/>
    <xf numFmtId="1" fontId="4" fillId="0" borderId="3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164" fontId="4" fillId="0" borderId="3" xfId="0" applyNumberFormat="1" applyFont="1" applyBorder="1"/>
    <xf numFmtId="14" fontId="4" fillId="0" borderId="3" xfId="0" applyNumberFormat="1" applyFont="1" applyBorder="1"/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/>
    <xf numFmtId="0" fontId="5" fillId="0" borderId="10" xfId="0" applyFont="1" applyBorder="1"/>
    <xf numFmtId="166" fontId="4" fillId="0" borderId="10" xfId="0" applyNumberFormat="1" applyFont="1" applyBorder="1" applyAlignment="1">
      <alignment horizontal="center"/>
    </xf>
    <xf numFmtId="3" fontId="4" fillId="0" borderId="10" xfId="0" applyNumberFormat="1" applyFont="1" applyBorder="1"/>
    <xf numFmtId="166" fontId="4" fillId="0" borderId="10" xfId="0" applyNumberFormat="1" applyFont="1" applyBorder="1"/>
    <xf numFmtId="14" fontId="4" fillId="0" borderId="10" xfId="0" applyNumberFormat="1" applyFont="1" applyBorder="1"/>
    <xf numFmtId="1" fontId="4" fillId="0" borderId="10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164" fontId="4" fillId="0" borderId="10" xfId="0" applyNumberFormat="1" applyFont="1" applyBorder="1"/>
    <xf numFmtId="164" fontId="4" fillId="0" borderId="11" xfId="0" applyNumberFormat="1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8" borderId="12" xfId="0" applyFill="1" applyBorder="1" applyAlignment="1">
      <alignment horizontal="center" vertical="center"/>
    </xf>
    <xf numFmtId="0" fontId="21" fillId="9" borderId="12" xfId="0" applyFont="1" applyFill="1" applyBorder="1" applyAlignment="1">
      <alignment horizontal="center"/>
    </xf>
    <xf numFmtId="0" fontId="21" fillId="0" borderId="12" xfId="0" applyFont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3" fontId="0" fillId="8" borderId="12" xfId="0" applyNumberFormat="1" applyFill="1" applyBorder="1" applyAlignment="1">
      <alignment horizontal="center" vertical="center"/>
    </xf>
    <xf numFmtId="1" fontId="0" fillId="8" borderId="12" xfId="0" applyNumberFormat="1" applyFill="1" applyBorder="1" applyAlignment="1">
      <alignment horizontal="center" vertical="center"/>
    </xf>
    <xf numFmtId="168" fontId="0" fillId="8" borderId="12" xfId="0" applyNumberForma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3" fontId="0" fillId="10" borderId="12" xfId="0" applyNumberFormat="1" applyFill="1" applyBorder="1" applyAlignment="1">
      <alignment horizontal="center" vertical="center"/>
    </xf>
    <xf numFmtId="1" fontId="0" fillId="10" borderId="12" xfId="0" applyNumberFormat="1" applyFill="1" applyBorder="1" applyAlignment="1">
      <alignment horizontal="center" vertical="center"/>
    </xf>
    <xf numFmtId="168" fontId="0" fillId="10" borderId="12" xfId="0" applyNumberFormat="1" applyFill="1" applyBorder="1" applyAlignment="1">
      <alignment horizontal="center" vertical="center"/>
    </xf>
    <xf numFmtId="164" fontId="4" fillId="0" borderId="5" xfId="0" applyNumberFormat="1" applyFont="1" applyBorder="1"/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1" fillId="9" borderId="13" xfId="0" applyFont="1" applyFill="1" applyBorder="1" applyAlignment="1">
      <alignment horizontal="center"/>
    </xf>
    <xf numFmtId="3" fontId="2" fillId="0" borderId="0" xfId="0" applyNumberFormat="1" applyFont="1"/>
    <xf numFmtId="168" fontId="26" fillId="0" borderId="14" xfId="0" applyNumberFormat="1" applyFont="1" applyBorder="1" applyAlignment="1">
      <alignment horizontal="center" vertical="center"/>
    </xf>
    <xf numFmtId="0" fontId="2" fillId="11" borderId="0" xfId="0" applyFont="1" applyFill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0" xfId="0" applyFont="1"/>
    <xf numFmtId="0" fontId="4" fillId="0" borderId="0" xfId="0" applyFont="1"/>
    <xf numFmtId="1" fontId="31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1" fillId="9" borderId="2" xfId="0" applyFont="1" applyFill="1" applyBorder="1" applyAlignment="1">
      <alignment horizontal="center"/>
    </xf>
    <xf numFmtId="0" fontId="21" fillId="9" borderId="0" xfId="0" applyFont="1" applyFill="1" applyAlignment="1">
      <alignment horizontal="center"/>
    </xf>
    <xf numFmtId="170" fontId="29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5" fillId="3" borderId="3" xfId="0" applyFont="1" applyFill="1" applyBorder="1"/>
    <xf numFmtId="166" fontId="4" fillId="3" borderId="3" xfId="0" applyNumberFormat="1" applyFont="1" applyFill="1" applyBorder="1" applyAlignment="1">
      <alignment horizontal="center"/>
    </xf>
    <xf numFmtId="3" fontId="4" fillId="3" borderId="3" xfId="0" applyNumberFormat="1" applyFont="1" applyFill="1" applyBorder="1"/>
    <xf numFmtId="166" fontId="4" fillId="3" borderId="3" xfId="0" applyNumberFormat="1" applyFont="1" applyFill="1" applyBorder="1"/>
    <xf numFmtId="1" fontId="4" fillId="3" borderId="3" xfId="0" applyNumberFormat="1" applyFont="1" applyFill="1" applyBorder="1" applyAlignment="1">
      <alignment horizontal="center"/>
    </xf>
    <xf numFmtId="14" fontId="4" fillId="3" borderId="3" xfId="0" applyNumberFormat="1" applyFont="1" applyFill="1" applyBorder="1" applyAlignment="1">
      <alignment horizontal="center"/>
    </xf>
    <xf numFmtId="3" fontId="4" fillId="3" borderId="3" xfId="0" applyNumberFormat="1" applyFont="1" applyFill="1" applyBorder="1" applyAlignment="1">
      <alignment horizontal="center"/>
    </xf>
    <xf numFmtId="164" fontId="4" fillId="3" borderId="3" xfId="0" applyNumberFormat="1" applyFont="1" applyFill="1" applyBorder="1"/>
    <xf numFmtId="164" fontId="4" fillId="3" borderId="8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7" fillId="6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3" fillId="8" borderId="12" xfId="0" applyFont="1" applyFill="1" applyBorder="1" applyAlignment="1">
      <alignment horizontal="center" vertical="center"/>
    </xf>
    <xf numFmtId="0" fontId="24" fillId="8" borderId="12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0" xfId="0"/>
    <xf numFmtId="0" fontId="9" fillId="8" borderId="12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/>
    </xf>
    <xf numFmtId="168" fontId="12" fillId="8" borderId="12" xfId="0" applyNumberFormat="1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167" fontId="8" fillId="7" borderId="0" xfId="0" applyNumberFormat="1" applyFont="1" applyFill="1" applyAlignment="1">
      <alignment horizontal="center"/>
    </xf>
    <xf numFmtId="0" fontId="16" fillId="8" borderId="12" xfId="0" applyFont="1" applyFill="1" applyBorder="1" applyAlignment="1">
      <alignment horizontal="center" vertical="center"/>
    </xf>
    <xf numFmtId="0" fontId="25" fillId="8" borderId="12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/>
    </xf>
    <xf numFmtId="0" fontId="30" fillId="6" borderId="12" xfId="0" applyFont="1" applyFill="1" applyBorder="1" applyAlignment="1">
      <alignment horizontal="center" vertical="center"/>
    </xf>
    <xf numFmtId="0" fontId="27" fillId="8" borderId="12" xfId="0" applyFont="1" applyFill="1" applyBorder="1" applyAlignment="1">
      <alignment horizontal="center" vertical="center"/>
    </xf>
    <xf numFmtId="0" fontId="28" fillId="8" borderId="12" xfId="0" applyFont="1" applyFill="1" applyBorder="1" applyAlignment="1">
      <alignment horizontal="center" vertical="center"/>
    </xf>
    <xf numFmtId="0" fontId="22" fillId="0" borderId="0" xfId="0" applyFont="1"/>
    <xf numFmtId="0" fontId="7" fillId="6" borderId="15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0" fillId="8" borderId="12" xfId="0" applyFont="1" applyFill="1" applyBorder="1" applyAlignment="1">
      <alignment horizontal="center" vertical="center"/>
    </xf>
    <xf numFmtId="169" fontId="12" fillId="8" borderId="12" xfId="0" applyNumberFormat="1" applyFont="1" applyFill="1" applyBorder="1" applyAlignment="1">
      <alignment horizontal="center" vertical="center"/>
    </xf>
    <xf numFmtId="166" fontId="12" fillId="8" borderId="12" xfId="0" applyNumberFormat="1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168" fontId="19" fillId="6" borderId="12" xfId="0" applyNumberFormat="1" applyFont="1" applyFill="1" applyBorder="1" applyAlignment="1">
      <alignment horizontal="center" vertical="center"/>
    </xf>
  </cellXfs>
  <cellStyles count="3">
    <cellStyle name="Moneda [0]" xfId="1" builtinId="7"/>
    <cellStyle name="Normal" xfId="0" builtinId="0"/>
    <cellStyle name="Porcentaje" xfId="2" builtinId="5"/>
  </cellStyles>
  <dxfs count="9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A65C00"/>
      </font>
      <fill>
        <patternFill patternType="solid">
          <fgColor rgb="FFFFF2CC"/>
        </patternFill>
      </fill>
    </dxf>
    <dxf>
      <font>
        <b/>
        <color rgb="FFA65C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E59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6B26B"/>
        </patternFill>
      </fill>
    </dxf>
    <dxf>
      <fill>
        <patternFill patternType="solid">
          <fgColor rgb="FFE0666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/>
    </dxf>
    <dxf>
      <numFmt numFmtId="14" formatCode="0.00%"/>
    </dxf>
    <dxf>
      <numFmt numFmtId="1" formatCode="0"/>
    </dxf>
    <dxf>
      <numFmt numFmtId="1" formatCode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$&quot;#,##0"/>
    </dxf>
    <dxf>
      <numFmt numFmtId="164" formatCode="&quot;$&quot;#,##0"/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bottom"/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  <numFmt numFmtId="165" formatCode="0.00000"/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  <numFmt numFmtId="19" formatCode="dd/mm/yyyy"/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  <alignment horizontal="center" vertical="bottom"/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bottom"/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9.5"/>
        <color theme="1"/>
        <name val="Aptos Narrow"/>
        <family val="2"/>
        <scheme val="minor"/>
      </font>
      <numFmt numFmtId="164" formatCode="&quot;$&quot;#,##0"/>
      <border>
        <left/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/>
        <top style="thin">
          <color theme="2" tint="-0.499984740745262"/>
        </top>
        <bottom style="thin">
          <color theme="2" tint="-0.499984740745262"/>
        </bottom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numFmt numFmtId="164" formatCode="&quot;$&quot;#,##0"/>
      <alignment horizontal="center" vertical="center"/>
      <border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strike val="0"/>
        <condense val="0"/>
        <extend val="0"/>
        <outline val="0"/>
        <shadow val="0"/>
        <vertAlign val="baseline"/>
        <sz val="9.5"/>
        <color theme="1"/>
        <name val="Aptos Narrow"/>
        <family val="2"/>
        <scheme val="minor"/>
      </font>
      <numFmt numFmtId="164" formatCode="&quot;$&quot;#,##0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numFmt numFmtId="164" formatCode="&quot;$&quot;#,##0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numFmt numFmtId="164" formatCode="&quot;$&quot;#,##0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condense val="0"/>
        <extend val="0"/>
        <outline val="0"/>
        <shadow val="0"/>
        <vertAlign val="baseline"/>
        <sz val="9.5"/>
        <color theme="1"/>
        <name val="Aptos Narrow"/>
        <family val="2"/>
        <scheme val="minor"/>
      </font>
      <numFmt numFmtId="166" formatCode="#,##0\ &quot;km&quot;"/>
      <alignment horizontal="center" vertical="bottom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condense val="0"/>
        <extend val="0"/>
        <outline val="0"/>
        <shadow val="0"/>
        <vertAlign val="baseline"/>
        <sz val="9.5"/>
        <color theme="1"/>
        <name val="Aptos Narrow"/>
        <family val="2"/>
        <scheme val="minor"/>
      </font>
      <numFmt numFmtId="3" formatCode="#,##0"/>
      <alignment horizontal="center" vertical="bottom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numFmt numFmtId="0" formatCode="General"/>
      <alignment horizontal="center"/>
      <border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numFmt numFmtId="19" formatCode="dd/mm/yyyy"/>
      <alignment horizontal="center"/>
      <border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numFmt numFmtId="1" formatCode="0"/>
      <alignment horizontal="center"/>
      <border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condense val="0"/>
        <extend val="0"/>
        <outline val="0"/>
        <shadow val="0"/>
        <vertAlign val="baseline"/>
        <sz val="9.5"/>
        <color theme="1"/>
        <name val="Aptos Narrow"/>
        <family val="2"/>
        <scheme val="minor"/>
      </font>
      <numFmt numFmtId="166" formatCode="#,##0\ &quot;km&quot;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condense val="0"/>
        <extend val="0"/>
        <outline val="0"/>
        <shadow val="0"/>
        <vertAlign val="baseline"/>
        <sz val="9.5"/>
        <color theme="1"/>
        <name val="Aptos Narrow"/>
        <family val="2"/>
        <scheme val="minor"/>
      </font>
      <numFmt numFmtId="3" formatCode="#,##0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condense val="0"/>
        <extend val="0"/>
        <outline val="0"/>
        <shadow val="0"/>
        <vertAlign val="baseline"/>
        <sz val="9.5"/>
        <color theme="1"/>
        <name val="Aptos Narrow"/>
        <family val="2"/>
        <scheme val="minor"/>
      </font>
      <numFmt numFmtId="166" formatCode="#,##0\ &quot;km&quot;"/>
      <alignment horizontal="center" vertical="bottom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alignment horizontal="center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alignment horizontal="center" vertical="bottom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outline val="0"/>
        <shadow val="0"/>
        <vertAlign val="baseline"/>
        <sz val="9.5"/>
        <color theme="1"/>
        <name val="Aptos Display"/>
        <family val="2"/>
        <scheme val="major"/>
      </font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numFmt numFmtId="0" formatCode="General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alignment horizontal="center" vertical="bottom"/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  <alignment horizontal="center" vertical="bottom"/>
      <border>
        <left/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>
        <top style="thin">
          <color theme="2" tint="-0.499984740745262"/>
        </top>
      </border>
    </dxf>
    <dxf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strike val="0"/>
        <outline val="0"/>
        <shadow val="0"/>
        <vertAlign val="baseline"/>
        <sz val="9.5"/>
        <color theme="1"/>
        <name val="Aptos Narrow"/>
        <family val="2"/>
        <scheme val="minor"/>
      </font>
    </dxf>
    <dxf>
      <border>
        <bottom style="thin">
          <color theme="2" tint="-0.499984740745262"/>
        </bottom>
      </border>
    </dxf>
    <dxf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theme="2" tint="-0.499984740745262"/>
        </left>
        <right style="thin">
          <color theme="2" tint="-0.499984740745262"/>
        </right>
        <top/>
        <bottom/>
        <vertical style="thin">
          <color theme="2" tint="-0.499984740745262"/>
        </vertical>
        <horizontal style="thin">
          <color theme="2" tint="-0.499984740745262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851033</xdr:colOff>
      <xdr:row>2</xdr:row>
      <xdr:rowOff>21166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308DD7C-9B7A-56EA-6D67-9C65AFA35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2491" cy="48683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Bustamante" refreshedDate="46176.685604398153" createdVersion="8" refreshedVersion="8" minRefreshableVersion="3" recordCount="750" xr:uid="{00000000-000A-0000-FFFF-FFFF00000000}">
  <cacheSource type="worksheet">
    <worksheetSource name="Tabla15"/>
  </cacheSource>
  <cacheFields count="16">
    <cacheField name="VEHICULO" numFmtId="0">
      <sharedItems count="2">
        <s v="TRACTOR"/>
        <s v="CAMIONETA"/>
      </sharedItems>
    </cacheField>
    <cacheField name="COMBUSTIBLE" numFmtId="0">
      <sharedItems count="2">
        <s v="PETRÓLEO"/>
        <s v="BENCINA"/>
      </sharedItems>
    </cacheField>
    <cacheField name="OPERADOR" numFmtId="0">
      <sharedItems count="22">
        <s v="T4"/>
        <s v="T14"/>
        <s v="T13"/>
        <s v="TA01"/>
        <s v="TA02"/>
        <s v="T10"/>
        <s v="T12"/>
        <s v="CAMPO PAINE"/>
        <s v="T7"/>
        <s v="T6"/>
        <s v="RODRIGO SALINAS"/>
        <s v="CAMPO CERRILLOS"/>
        <s v="CAMPO RULO"/>
        <s v="T5"/>
        <s v="GONZALO GUERRERO"/>
        <s v="T9"/>
        <s v="VG PIÑALEO"/>
        <s v="SERGIO ROJAS"/>
        <s v="VG GERARDO"/>
        <s v="VG CERRILLOS"/>
        <s v="T8"/>
        <s v="T11"/>
      </sharedItems>
    </cacheField>
    <cacheField name="GPS" numFmtId="0">
      <sharedItems/>
    </cacheField>
    <cacheField name="Fecha" numFmtId="14">
      <sharedItems containsSemiMixedTypes="0" containsNonDate="0" containsDate="1" containsString="0" minDate="2026-03-27T00:00:00" maxDate="2026-05-29T00:00:00" count="58">
        <d v="2026-03-30T00:00:00"/>
        <d v="2026-03-27T00:00:00"/>
        <d v="2026-03-31T00:00:00"/>
        <d v="2026-04-01T00:00:00"/>
        <d v="2026-04-06T00:00:00"/>
        <d v="2026-04-07T00:00:00"/>
        <d v="2026-04-04T00:00:00"/>
        <d v="2026-04-05T00:00:00"/>
        <d v="2026-03-28T00:00:00"/>
        <d v="2026-03-29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9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3T00:00:00"/>
        <d v="2026-05-02T00:00:00"/>
        <d v="2026-05-04T00:00:00"/>
        <d v="2026-05-08T00:00:00"/>
        <d v="2026-05-05T00:00:00"/>
        <d v="2026-05-06T00:00:00"/>
        <d v="2026-05-07T00:00:00"/>
        <d v="2026-05-11T00:00:00"/>
        <d v="2026-05-10T00:00:00"/>
        <d v="2026-05-09T00:00:00"/>
        <d v="2026-05-13T00:00:00"/>
        <d v="2026-05-12T00:00:00"/>
        <d v="2026-05-14T00:00:00"/>
        <d v="2026-05-18T00:00:00"/>
        <d v="2026-05-15T00:00:00"/>
        <d v="2026-05-16T00:00:00"/>
        <d v="2026-05-17T00:00:00"/>
        <d v="2026-05-20T00:00:00"/>
        <d v="2026-05-28T00:00:00"/>
        <d v="2026-05-21T00:00:00"/>
        <d v="2026-05-27T00:00:00"/>
        <d v="2026-05-26T00:00:00"/>
        <d v="2026-05-19T00:00:00"/>
        <d v="2026-05-22T00:00:00"/>
      </sharedItems>
      <fieldGroup par="15"/>
    </cacheField>
    <cacheField name="Horas Motor (Hrs)" numFmtId="0">
      <sharedItems containsSemiMixedTypes="0" containsString="0" containsNumber="1" minValue="0" maxValue="17.016100000000002"/>
    </cacheField>
    <cacheField name="Distancia (km)" numFmtId="0">
      <sharedItems containsSemiMixedTypes="0" containsString="0" containsNumber="1" minValue="0" maxValue="234.91"/>
    </cacheField>
    <cacheField name="Disponibilidad" numFmtId="0">
      <sharedItems containsSemiMixedTypes="0" containsString="0" containsNumber="1" containsInteger="1" minValue="0" maxValue="1"/>
    </cacheField>
    <cacheField name="Vel. Prom. (km/hr)" numFmtId="0">
      <sharedItems containsSemiMixedTypes="0" containsString="0" containsNumber="1" minValue="0" maxValue="65.072299999999998"/>
    </cacheField>
    <cacheField name="Vel. Máx (km/hr)" numFmtId="0">
      <sharedItems containsSemiMixedTypes="0" containsString="0" containsNumber="1" minValue="0" maxValue="304.00580000000002"/>
    </cacheField>
    <cacheField name="Uso (8 hrs)" numFmtId="0">
      <sharedItems containsSemiMixedTypes="0" containsString="0" containsNumber="1" minValue="0" maxValue="2.13"/>
    </cacheField>
    <cacheField name="KM/LT" numFmtId="165">
      <sharedItems containsSemiMixedTypes="0" containsString="0" containsNumber="1" minValue="0" maxValue="26.101111111111109"/>
    </cacheField>
    <cacheField name="PRECIO" numFmtId="164">
      <sharedItems containsSemiMixedTypes="0" containsString="0" containsNumber="1" minValue="0" maxValue="31347.43444444444"/>
    </cacheField>
    <cacheField name="SEMANA/FIN" numFmtId="0">
      <sharedItems count="2">
        <s v="Semana"/>
        <s v="Fin de semana"/>
      </sharedItems>
    </cacheField>
    <cacheField name="Días (Fecha)" numFmtId="0" databaseField="0">
      <fieldGroup base="4">
        <rangePr groupBy="days" startDate="2026-03-27T00:00:00" endDate="2026-05-29T00:00:00"/>
        <groupItems count="368">
          <s v="&lt;27-03-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9-05-2026"/>
        </groupItems>
      </fieldGroup>
    </cacheField>
    <cacheField name="Meses (Fecha)" numFmtId="0" databaseField="0">
      <fieldGroup base="4">
        <rangePr groupBy="months" startDate="2026-03-27T00:00:00" endDate="2026-05-29T00:00:00"/>
        <groupItems count="14">
          <s v="&lt;27-03-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9-05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Bustamante" refreshedDate="46188.456660416668" createdVersion="8" refreshedVersion="8" minRefreshableVersion="3" recordCount="48" xr:uid="{F1E2A40E-14E8-4FF9-AC44-EF2FA2F87A03}">
  <cacheSource type="worksheet">
    <worksheetSource name="Tabla6"/>
  </cacheSource>
  <cacheFields count="7">
    <cacheField name="FECHA" numFmtId="14">
      <sharedItems containsSemiMixedTypes="0" containsNonDate="0" containsDate="1" containsString="0" minDate="2026-03-30T00:00:00" maxDate="2026-06-11T00:00:00" count="3">
        <d v="2026-05-28T00:00:00"/>
        <d v="2026-03-30T00:00:00"/>
        <d v="2026-06-10T00:00:00"/>
      </sharedItems>
      <fieldGroup par="6"/>
    </cacheField>
    <cacheField name="ENCARGADO" numFmtId="0">
      <sharedItems count="21">
        <s v="VG PIÑALEO"/>
        <s v="VG GERARDO"/>
        <s v="VG CERRILLOS"/>
        <s v="T9"/>
        <s v="T8"/>
        <s v="T7"/>
        <s v="T6"/>
        <s v="T5"/>
        <s v="T4"/>
        <s v="T14"/>
        <s v="T13"/>
        <s v="T12"/>
        <s v="T11"/>
        <s v="T10"/>
        <s v="SSANYONG"/>
        <s v="SERGIO ROJAS"/>
        <s v="RODRIGO SALINAS"/>
        <s v="GONZALO GUERRERO"/>
        <s v="CAMPO RULO"/>
        <s v="CAMPO PAINE"/>
        <s v="CAMPO CERRILLOS"/>
      </sharedItems>
    </cacheField>
    <cacheField name="MONTO" numFmtId="3">
      <sharedItems containsSemiMixedTypes="0" containsString="0" containsNumber="1" containsInteger="1" minValue="12500" maxValue="232996"/>
    </cacheField>
    <cacheField name="MOTIVO" numFmtId="0">
      <sharedItems count="5">
        <s v="GPS"/>
        <s v="POLIZA DE SEGURO"/>
        <s v="REVISION TECNICA"/>
        <s v="PERMISO DE CIRCULACION"/>
        <s v="BATERIA"/>
      </sharedItems>
    </cacheField>
    <cacheField name="N° FACTURA" numFmtId="0">
      <sharedItems containsNonDate="0" containsString="0" containsBlank="1"/>
    </cacheField>
    <cacheField name="Días (FECHA)" numFmtId="0" databaseField="0">
      <fieldGroup base="0">
        <rangePr groupBy="days" startDate="2026-03-30T00:00:00" endDate="2026-06-11T00:00:00"/>
        <groupItems count="368">
          <s v="&lt;30-03-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1-06-2026"/>
        </groupItems>
      </fieldGroup>
    </cacheField>
    <cacheField name="Meses (FECHA)" numFmtId="0" databaseField="0">
      <fieldGroup base="0">
        <rangePr groupBy="months" startDate="2026-03-30T00:00:00" endDate="2026-06-11T00:00:00"/>
        <groupItems count="14">
          <s v="&lt;30-03-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1-06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x v="0"/>
    <x v="0"/>
    <x v="0"/>
    <s v="T4"/>
    <x v="0"/>
    <n v="11.529199999999999"/>
    <n v="63.29"/>
    <n v="1"/>
    <n v="6.5488999999999997"/>
    <n v="67.486900000000006"/>
    <n v="1.44"/>
    <n v="10.54833333333333"/>
    <n v="12668.54833333333"/>
    <x v="0"/>
  </r>
  <r>
    <x v="0"/>
    <x v="0"/>
    <x v="1"/>
    <s v="T14"/>
    <x v="0"/>
    <n v="9.7139000000000006"/>
    <n v="66.09"/>
    <n v="1"/>
    <n v="7.4539999999999997"/>
    <n v="103.45269999999999"/>
    <n v="1.21"/>
    <n v="11.015000000000001"/>
    <n v="13229.014999999999"/>
    <x v="0"/>
  </r>
  <r>
    <x v="0"/>
    <x v="0"/>
    <x v="2"/>
    <s v="T13"/>
    <x v="0"/>
    <n v="8.6636000000000006"/>
    <n v="29.01"/>
    <n v="1"/>
    <n v="6.8125"/>
    <n v="66.116399999999999"/>
    <n v="1.08"/>
    <n v="4.835"/>
    <n v="5806.835"/>
    <x v="0"/>
  </r>
  <r>
    <x v="0"/>
    <x v="0"/>
    <x v="3"/>
    <s v="TA01"/>
    <x v="0"/>
    <n v="6.5252999999999997"/>
    <n v="30.72"/>
    <n v="1"/>
    <n v="6.0674000000000001"/>
    <n v="26.9999"/>
    <n v="0.82"/>
    <n v="5.12"/>
    <n v="6149.12"/>
    <x v="0"/>
  </r>
  <r>
    <x v="0"/>
    <x v="0"/>
    <x v="4"/>
    <s v="TA02"/>
    <x v="0"/>
    <n v="5.7485999999999997"/>
    <n v="12.07"/>
    <n v="1"/>
    <n v="4.1947000000000001"/>
    <n v="67.542400000000001"/>
    <n v="0.72"/>
    <n v="2.0116666666666672"/>
    <n v="2416.0116666666672"/>
    <x v="0"/>
  </r>
  <r>
    <x v="0"/>
    <x v="0"/>
    <x v="5"/>
    <s v="T10"/>
    <x v="0"/>
    <n v="4.8518999999999997"/>
    <n v="9.5399999999999991"/>
    <n v="1"/>
    <n v="3.6598999999999999"/>
    <n v="16.908799999999999"/>
    <n v="0.61"/>
    <n v="1.59"/>
    <n v="1909.59"/>
    <x v="0"/>
  </r>
  <r>
    <x v="0"/>
    <x v="0"/>
    <x v="6"/>
    <s v="T12"/>
    <x v="0"/>
    <n v="4.7594000000000003"/>
    <n v="37.19"/>
    <n v="1"/>
    <n v="10.8507"/>
    <n v="68.042500000000004"/>
    <n v="0.59"/>
    <n v="6.1983333333333333"/>
    <n v="7444.1983333333328"/>
    <x v="0"/>
  </r>
  <r>
    <x v="1"/>
    <x v="0"/>
    <x v="7"/>
    <s v="CMTA01"/>
    <x v="0"/>
    <n v="4.7405999999999997"/>
    <n v="70.599999999999994"/>
    <n v="1"/>
    <n v="20.9572"/>
    <n v="146.80799999999999"/>
    <n v="0.59"/>
    <n v="7.8444444444444441"/>
    <n v="9421.177777777777"/>
    <x v="0"/>
  </r>
  <r>
    <x v="0"/>
    <x v="0"/>
    <x v="8"/>
    <s v="T7"/>
    <x v="0"/>
    <n v="4.2336"/>
    <n v="34.49"/>
    <n v="1"/>
    <n v="11.4292"/>
    <n v="38.540100000000002"/>
    <n v="0.53"/>
    <n v="5.748333333333334"/>
    <n v="6903.7483333333339"/>
    <x v="0"/>
  </r>
  <r>
    <x v="0"/>
    <x v="0"/>
    <x v="9"/>
    <s v="T6"/>
    <x v="0"/>
    <n v="4.2013999999999996"/>
    <n v="19.53"/>
    <n v="1"/>
    <n v="8.0266999999999999"/>
    <n v="65.968199999999996"/>
    <n v="0.53"/>
    <n v="3.2549999999999999"/>
    <n v="3909.255000000001"/>
    <x v="0"/>
  </r>
  <r>
    <x v="1"/>
    <x v="0"/>
    <x v="10"/>
    <s v="CMTA07"/>
    <x v="0"/>
    <n v="3.8264"/>
    <n v="136.32"/>
    <n v="1"/>
    <n v="42.596699999999998"/>
    <n v="303.30200000000002"/>
    <n v="0.48"/>
    <n v="15.14666666666667"/>
    <n v="18191.146666666671"/>
    <x v="0"/>
  </r>
  <r>
    <x v="1"/>
    <x v="0"/>
    <x v="11"/>
    <s v="CMTA11"/>
    <x v="0"/>
    <n v="3.3264"/>
    <n v="45.22"/>
    <n v="1"/>
    <n v="13.6442"/>
    <n v="47.262999999999998"/>
    <n v="0.42"/>
    <n v="5.0244444444444447"/>
    <n v="6034.3577777777782"/>
    <x v="0"/>
  </r>
  <r>
    <x v="1"/>
    <x v="0"/>
    <x v="12"/>
    <s v="CMTA10"/>
    <x v="0"/>
    <n v="3.2738999999999998"/>
    <n v="42"/>
    <n v="1"/>
    <n v="16.8322"/>
    <n v="177.38460000000001"/>
    <n v="0.41"/>
    <n v="4.666666666666667"/>
    <n v="5604.666666666667"/>
    <x v="0"/>
  </r>
  <r>
    <x v="0"/>
    <x v="0"/>
    <x v="13"/>
    <s v="T5"/>
    <x v="0"/>
    <n v="2.7010999999999998"/>
    <n v="18.059999999999999"/>
    <n v="1"/>
    <n v="7.8433999999999999"/>
    <n v="26.428000000000001"/>
    <n v="0.34"/>
    <n v="3.01"/>
    <n v="3615.01"/>
    <x v="0"/>
  </r>
  <r>
    <x v="1"/>
    <x v="0"/>
    <x v="14"/>
    <s v="CMTA08"/>
    <x v="0"/>
    <n v="1.5275000000000001"/>
    <n v="55.89"/>
    <n v="1"/>
    <n v="38.114400000000003"/>
    <n v="110.0001"/>
    <n v="0.19"/>
    <n v="6.21"/>
    <n v="7458.21"/>
    <x v="0"/>
  </r>
  <r>
    <x v="0"/>
    <x v="0"/>
    <x v="15"/>
    <s v="T9"/>
    <x v="0"/>
    <n v="0.49469999999999997"/>
    <n v="0.1"/>
    <n v="0"/>
    <n v="4.7572000000000001"/>
    <n v="12.964"/>
    <n v="0.06"/>
    <n v="1.666666666666667E-2"/>
    <n v="20.016666666666669"/>
    <x v="0"/>
  </r>
  <r>
    <x v="1"/>
    <x v="1"/>
    <x v="16"/>
    <s v="CMTA03"/>
    <x v="0"/>
    <n v="0"/>
    <n v="34.53"/>
    <n v="1"/>
    <n v="33.296999999999997"/>
    <n v="81.691699999999997"/>
    <n v="0"/>
    <n v="3.1390909090909092"/>
    <n v="4865.590909090909"/>
    <x v="0"/>
  </r>
  <r>
    <x v="1"/>
    <x v="0"/>
    <x v="17"/>
    <s v="CMTA02"/>
    <x v="0"/>
    <n v="0"/>
    <n v="54.68"/>
    <n v="1"/>
    <n v="26.715"/>
    <n v="103.0001"/>
    <n v="0"/>
    <n v="6.0755555555555558"/>
    <n v="7296.7422222222222"/>
    <x v="0"/>
  </r>
  <r>
    <x v="1"/>
    <x v="1"/>
    <x v="18"/>
    <s v="CMTA04"/>
    <x v="0"/>
    <n v="0"/>
    <n v="46.25"/>
    <n v="1"/>
    <n v="23.973600000000001"/>
    <n v="87.321799999999996"/>
    <n v="0"/>
    <n v="4.2045454545454541"/>
    <n v="6517.045454545454"/>
    <x v="0"/>
  </r>
  <r>
    <x v="1"/>
    <x v="1"/>
    <x v="19"/>
    <s v="CMTA05"/>
    <x v="0"/>
    <n v="0"/>
    <n v="43.76"/>
    <n v="1"/>
    <n v="16.6099"/>
    <n v="97"/>
    <n v="0"/>
    <n v="3.978181818181818"/>
    <n v="6166.181818181818"/>
    <x v="0"/>
  </r>
  <r>
    <x v="0"/>
    <x v="0"/>
    <x v="1"/>
    <s v="T14"/>
    <x v="1"/>
    <n v="9.3289000000000009"/>
    <n v="69.44"/>
    <n v="1"/>
    <n v="9.0928000000000004"/>
    <n v="43.2072"/>
    <n v="1.17"/>
    <n v="11.573333333333331"/>
    <n v="13899.57333333333"/>
    <x v="0"/>
  </r>
  <r>
    <x v="0"/>
    <x v="0"/>
    <x v="0"/>
    <s v="T4"/>
    <x v="1"/>
    <n v="6.8468999999999998"/>
    <n v="55.43"/>
    <n v="1"/>
    <n v="9.7936999999999994"/>
    <n v="35.021299999999997"/>
    <n v="0.86"/>
    <n v="9.2383333333333333"/>
    <n v="11095.238333333329"/>
    <x v="0"/>
  </r>
  <r>
    <x v="0"/>
    <x v="0"/>
    <x v="4"/>
    <s v="TA02"/>
    <x v="1"/>
    <n v="6.5128000000000004"/>
    <n v="25.34"/>
    <n v="1"/>
    <n v="5.6759000000000004"/>
    <n v="46.151800000000001"/>
    <n v="0.81"/>
    <n v="4.2233333333333336"/>
    <n v="5072.2233333333334"/>
    <x v="0"/>
  </r>
  <r>
    <x v="0"/>
    <x v="0"/>
    <x v="3"/>
    <s v="TA01"/>
    <x v="1"/>
    <n v="6.1142000000000003"/>
    <n v="25.13"/>
    <n v="1"/>
    <n v="5.7241"/>
    <n v="38.854999999999997"/>
    <n v="0.76"/>
    <n v="4.1883333333333326"/>
    <n v="5030.1883333333344"/>
    <x v="0"/>
  </r>
  <r>
    <x v="1"/>
    <x v="0"/>
    <x v="11"/>
    <s v="CMTA11"/>
    <x v="1"/>
    <n v="5.7374999999999998"/>
    <n v="42.85"/>
    <n v="1"/>
    <n v="13.8431"/>
    <n v="48.578000000000003"/>
    <n v="0.72"/>
    <n v="4.7611111111111111"/>
    <n v="5718.094444444444"/>
    <x v="0"/>
  </r>
  <r>
    <x v="0"/>
    <x v="0"/>
    <x v="2"/>
    <s v="T13"/>
    <x v="1"/>
    <n v="4.2413999999999996"/>
    <n v="15.8"/>
    <n v="1"/>
    <n v="6.1878000000000002"/>
    <n v="19.168199999999999"/>
    <n v="0.53"/>
    <n v="2.6333333333333329"/>
    <n v="3162.6333333333332"/>
    <x v="0"/>
  </r>
  <r>
    <x v="0"/>
    <x v="0"/>
    <x v="5"/>
    <s v="T10"/>
    <x v="1"/>
    <n v="4.0289000000000001"/>
    <n v="18.97"/>
    <n v="1"/>
    <n v="6.2870999999999997"/>
    <n v="27.057700000000001"/>
    <n v="0.5"/>
    <n v="3.1616666666666671"/>
    <n v="3797.161666666666"/>
    <x v="0"/>
  </r>
  <r>
    <x v="0"/>
    <x v="0"/>
    <x v="8"/>
    <s v="T7"/>
    <x v="1"/>
    <n v="4.0117000000000003"/>
    <n v="12.51"/>
    <n v="1"/>
    <n v="6.9625000000000004"/>
    <n v="33.999899999999997"/>
    <n v="0.5"/>
    <n v="2.085"/>
    <n v="2504.085"/>
    <x v="0"/>
  </r>
  <r>
    <x v="0"/>
    <x v="0"/>
    <x v="9"/>
    <s v="T6"/>
    <x v="1"/>
    <n v="4.0033000000000003"/>
    <n v="24.78"/>
    <n v="1"/>
    <n v="9.4738000000000007"/>
    <n v="129.4178"/>
    <n v="0.5"/>
    <n v="4.13"/>
    <n v="4960.13"/>
    <x v="0"/>
  </r>
  <r>
    <x v="1"/>
    <x v="0"/>
    <x v="7"/>
    <s v="CMTA01"/>
    <x v="1"/>
    <n v="3.9546999999999999"/>
    <n v="36.92"/>
    <n v="1"/>
    <n v="21.552800000000001"/>
    <n v="123.2876"/>
    <n v="0.49"/>
    <n v="4.1022222222222222"/>
    <n v="4926.7688888888888"/>
    <x v="0"/>
  </r>
  <r>
    <x v="1"/>
    <x v="0"/>
    <x v="10"/>
    <s v="CMTA07"/>
    <x v="1"/>
    <n v="3.7461000000000002"/>
    <n v="129.57"/>
    <n v="1"/>
    <n v="38.273000000000003"/>
    <n v="152.73439999999999"/>
    <n v="0.47"/>
    <n v="14.39666666666667"/>
    <n v="17290.396666666671"/>
    <x v="0"/>
  </r>
  <r>
    <x v="0"/>
    <x v="0"/>
    <x v="6"/>
    <s v="T12"/>
    <x v="1"/>
    <n v="3.5428000000000002"/>
    <n v="5.25"/>
    <n v="1"/>
    <n v="3.6701999999999999"/>
    <n v="33.595300000000002"/>
    <n v="0.44"/>
    <n v="0.875"/>
    <n v="1050.875"/>
    <x v="0"/>
  </r>
  <r>
    <x v="1"/>
    <x v="0"/>
    <x v="12"/>
    <s v="CMTA10"/>
    <x v="1"/>
    <n v="3.0238999999999998"/>
    <n v="34.159999999999997"/>
    <n v="1"/>
    <n v="17.284199999999998"/>
    <n v="83"/>
    <n v="0.38"/>
    <n v="3.7955555555555551"/>
    <n v="4558.4622222222206"/>
    <x v="0"/>
  </r>
  <r>
    <x v="0"/>
    <x v="0"/>
    <x v="13"/>
    <s v="T5"/>
    <x v="1"/>
    <n v="2.7505999999999999"/>
    <n v="16.64"/>
    <n v="1"/>
    <n v="8.6948000000000008"/>
    <n v="32.687800000000003"/>
    <n v="0.34"/>
    <n v="2.773333333333333"/>
    <n v="3330.773333333334"/>
    <x v="0"/>
  </r>
  <r>
    <x v="1"/>
    <x v="0"/>
    <x v="14"/>
    <s v="CMTA08"/>
    <x v="1"/>
    <n v="0.9597"/>
    <n v="18.88"/>
    <n v="1"/>
    <n v="28.491900000000001"/>
    <n v="134"/>
    <n v="0.12"/>
    <n v="2.097777777777778"/>
    <n v="2519.431111111111"/>
    <x v="0"/>
  </r>
  <r>
    <x v="1"/>
    <x v="1"/>
    <x v="16"/>
    <s v="CMTA03"/>
    <x v="1"/>
    <n v="0"/>
    <n v="73.150000000000006"/>
    <n v="1"/>
    <n v="32.992800000000003"/>
    <n v="112.0001"/>
    <n v="0"/>
    <n v="6.65"/>
    <n v="10307.5"/>
    <x v="0"/>
  </r>
  <r>
    <x v="1"/>
    <x v="1"/>
    <x v="18"/>
    <s v="CMTA04"/>
    <x v="1"/>
    <n v="0"/>
    <n v="99.19"/>
    <n v="1"/>
    <n v="27.654399999999999"/>
    <n v="84.999899999999997"/>
    <n v="0"/>
    <n v="9.0172727272727276"/>
    <n v="13976.77272727273"/>
    <x v="0"/>
  </r>
  <r>
    <x v="1"/>
    <x v="1"/>
    <x v="19"/>
    <s v="CMTA05"/>
    <x v="1"/>
    <n v="0"/>
    <n v="49.25"/>
    <n v="1"/>
    <n v="19.160900000000002"/>
    <n v="73.468800000000002"/>
    <n v="0"/>
    <n v="4.4772727272727284"/>
    <n v="6939.7727272727279"/>
    <x v="0"/>
  </r>
  <r>
    <x v="1"/>
    <x v="0"/>
    <x v="17"/>
    <s v="CMTA02"/>
    <x v="1"/>
    <n v="0"/>
    <n v="61.52"/>
    <n v="1"/>
    <n v="27.673100000000002"/>
    <n v="94.000100000000003"/>
    <n v="0"/>
    <n v="6.8355555555555556"/>
    <n v="8209.5022222222215"/>
    <x v="0"/>
  </r>
  <r>
    <x v="0"/>
    <x v="0"/>
    <x v="2"/>
    <s v="T13"/>
    <x v="2"/>
    <n v="12.9053"/>
    <n v="52.16"/>
    <n v="1"/>
    <n v="5.6374000000000004"/>
    <n v="58.764000000000003"/>
    <n v="1.61"/>
    <n v="8.6933333333333334"/>
    <n v="10440.693333333331"/>
    <x v="0"/>
  </r>
  <r>
    <x v="0"/>
    <x v="0"/>
    <x v="4"/>
    <s v="TA02"/>
    <x v="2"/>
    <n v="9.4328000000000003"/>
    <n v="21.46"/>
    <n v="1"/>
    <n v="5.6353"/>
    <n v="29.9283"/>
    <n v="1.18"/>
    <n v="3.5766666666666671"/>
    <n v="4295.5766666666668"/>
    <x v="0"/>
  </r>
  <r>
    <x v="1"/>
    <x v="0"/>
    <x v="7"/>
    <s v="CMTA01"/>
    <x v="2"/>
    <n v="7.2527999999999997"/>
    <n v="69.569999999999993"/>
    <n v="1"/>
    <n v="18.553999999999998"/>
    <n v="144.7894"/>
    <n v="0.91"/>
    <n v="7.73"/>
    <n v="9283.73"/>
    <x v="0"/>
  </r>
  <r>
    <x v="0"/>
    <x v="0"/>
    <x v="6"/>
    <s v="T12"/>
    <x v="2"/>
    <n v="6.2074999999999996"/>
    <n v="7.53"/>
    <n v="1"/>
    <n v="3.0962999999999998"/>
    <n v="21.409099999999999"/>
    <n v="0.78"/>
    <n v="1.2549999999999999"/>
    <n v="1507.2550000000001"/>
    <x v="0"/>
  </r>
  <r>
    <x v="1"/>
    <x v="0"/>
    <x v="11"/>
    <s v="CMTA11"/>
    <x v="2"/>
    <n v="5.9164000000000003"/>
    <n v="48.67"/>
    <n v="1"/>
    <n v="13.978"/>
    <n v="67.375799999999998"/>
    <n v="0.74"/>
    <n v="5.4077777777777776"/>
    <n v="6494.7411111111114"/>
    <x v="0"/>
  </r>
  <r>
    <x v="1"/>
    <x v="0"/>
    <x v="10"/>
    <s v="CMTA07"/>
    <x v="2"/>
    <n v="5.4185999999999996"/>
    <n v="162.66"/>
    <n v="1"/>
    <n v="36.229100000000003"/>
    <n v="144"/>
    <n v="0.68"/>
    <n v="18.073333333333331"/>
    <n v="21706.07333333333"/>
    <x v="0"/>
  </r>
  <r>
    <x v="0"/>
    <x v="0"/>
    <x v="3"/>
    <s v="TA01"/>
    <x v="2"/>
    <n v="4.9606000000000003"/>
    <n v="18.62"/>
    <n v="1"/>
    <n v="5.8715999999999999"/>
    <n v="82.951099999999997"/>
    <n v="0.62"/>
    <n v="3.1033333333333331"/>
    <n v="3727.103333333333"/>
    <x v="0"/>
  </r>
  <r>
    <x v="0"/>
    <x v="0"/>
    <x v="9"/>
    <s v="T6"/>
    <x v="2"/>
    <n v="4.1486000000000001"/>
    <n v="14.1"/>
    <n v="1"/>
    <n v="6.4672999999999998"/>
    <n v="66.431200000000004"/>
    <n v="0.52"/>
    <n v="2.35"/>
    <n v="2822.35"/>
    <x v="0"/>
  </r>
  <r>
    <x v="0"/>
    <x v="0"/>
    <x v="8"/>
    <s v="T7"/>
    <x v="2"/>
    <n v="3.58"/>
    <n v="10.94"/>
    <n v="1"/>
    <n v="6.3061999999999996"/>
    <n v="21.1128"/>
    <n v="0.45"/>
    <n v="1.823333333333333"/>
    <n v="2189.8233333333328"/>
    <x v="0"/>
  </r>
  <r>
    <x v="1"/>
    <x v="0"/>
    <x v="12"/>
    <s v="CMTA10"/>
    <x v="2"/>
    <n v="2.7210999999999999"/>
    <n v="50.61"/>
    <n v="1"/>
    <n v="24.968699999999998"/>
    <n v="84.000100000000003"/>
    <n v="0.34"/>
    <n v="5.6233333333333331"/>
    <n v="6753.623333333333"/>
    <x v="0"/>
  </r>
  <r>
    <x v="0"/>
    <x v="0"/>
    <x v="13"/>
    <s v="T5"/>
    <x v="2"/>
    <n v="2.7128000000000001"/>
    <n v="15.18"/>
    <n v="1"/>
    <n v="7.5121000000000002"/>
    <n v="38.4846"/>
    <n v="0.34"/>
    <n v="2.5299999999999998"/>
    <n v="3038.53"/>
    <x v="0"/>
  </r>
  <r>
    <x v="0"/>
    <x v="0"/>
    <x v="1"/>
    <s v="T14"/>
    <x v="2"/>
    <n v="2.5682999999999998"/>
    <n v="2.93"/>
    <n v="1"/>
    <n v="4.8541999999999996"/>
    <n v="20.594200000000001"/>
    <n v="0.32"/>
    <n v="0.48833333333333329"/>
    <n v="586.48833333333334"/>
    <x v="0"/>
  </r>
  <r>
    <x v="1"/>
    <x v="0"/>
    <x v="14"/>
    <s v="CMTA08"/>
    <x v="2"/>
    <n v="1.5449999999999999"/>
    <n v="52.6"/>
    <n v="1"/>
    <n v="34.861699999999999"/>
    <n v="104"/>
    <n v="0.19"/>
    <n v="5.844444444444445"/>
    <n v="7019.1777777777788"/>
    <x v="0"/>
  </r>
  <r>
    <x v="0"/>
    <x v="0"/>
    <x v="15"/>
    <s v="T9"/>
    <x v="2"/>
    <n v="8.0000000000000004E-4"/>
    <n v="0.03"/>
    <n v="0"/>
    <n v="10.0008"/>
    <n v="13.760400000000001"/>
    <n v="0"/>
    <n v="5.0000000000000001E-3"/>
    <n v="6.0049999999999999"/>
    <x v="0"/>
  </r>
  <r>
    <x v="1"/>
    <x v="1"/>
    <x v="16"/>
    <s v="CMTA03"/>
    <x v="2"/>
    <n v="0"/>
    <n v="73.260000000000005"/>
    <n v="1"/>
    <n v="37.107799999999997"/>
    <n v="96.000100000000003"/>
    <n v="0"/>
    <n v="6.66"/>
    <n v="10323"/>
    <x v="0"/>
  </r>
  <r>
    <x v="1"/>
    <x v="1"/>
    <x v="18"/>
    <s v="CMTA04"/>
    <x v="2"/>
    <n v="0"/>
    <n v="106.6"/>
    <n v="1"/>
    <n v="30.1401"/>
    <n v="105.0001"/>
    <n v="0"/>
    <n v="9.6909090909090896"/>
    <n v="15020.90909090909"/>
    <x v="0"/>
  </r>
  <r>
    <x v="1"/>
    <x v="0"/>
    <x v="17"/>
    <s v="CMTA02"/>
    <x v="2"/>
    <n v="0"/>
    <n v="49.43"/>
    <n v="1"/>
    <n v="23.943999999999999"/>
    <n v="92"/>
    <n v="0"/>
    <n v="5.4922222222222219"/>
    <n v="6596.1588888888882"/>
    <x v="0"/>
  </r>
  <r>
    <x v="1"/>
    <x v="1"/>
    <x v="19"/>
    <s v="CMTA05"/>
    <x v="2"/>
    <n v="0"/>
    <n v="34.75"/>
    <n v="1"/>
    <n v="20.292400000000001"/>
    <n v="87.47"/>
    <n v="0"/>
    <n v="3.1590909090909092"/>
    <n v="4896.590909090909"/>
    <x v="0"/>
  </r>
  <r>
    <x v="0"/>
    <x v="0"/>
    <x v="1"/>
    <s v="T14"/>
    <x v="3"/>
    <n v="9.0914000000000001"/>
    <n v="79.08"/>
    <n v="1"/>
    <n v="10.703799999999999"/>
    <n v="84.025199999999998"/>
    <n v="1.1399999999999999"/>
    <n v="13.18"/>
    <n v="15829.18"/>
    <x v="0"/>
  </r>
  <r>
    <x v="0"/>
    <x v="0"/>
    <x v="3"/>
    <s v="TA01"/>
    <x v="3"/>
    <n v="6.5274999999999999"/>
    <n v="32.619999999999997"/>
    <n v="1"/>
    <n v="7.2983000000000002"/>
    <n v="43.818300000000001"/>
    <n v="0.82"/>
    <n v="5.4366666666666674"/>
    <n v="6529.4366666666656"/>
    <x v="0"/>
  </r>
  <r>
    <x v="0"/>
    <x v="0"/>
    <x v="5"/>
    <s v="T10"/>
    <x v="3"/>
    <n v="6.4861000000000004"/>
    <n v="15.79"/>
    <n v="1"/>
    <n v="4.3494000000000002"/>
    <n v="69.394400000000005"/>
    <n v="0.81"/>
    <n v="2.6316666666666659"/>
    <n v="3160.6316666666662"/>
    <x v="0"/>
  </r>
  <r>
    <x v="0"/>
    <x v="0"/>
    <x v="4"/>
    <s v="TA02"/>
    <x v="3"/>
    <n v="6.4722"/>
    <n v="30.36"/>
    <n v="1"/>
    <n v="6.8089000000000004"/>
    <n v="43.614600000000003"/>
    <n v="0.81"/>
    <n v="5.0599999999999996"/>
    <n v="6077.0599999999986"/>
    <x v="0"/>
  </r>
  <r>
    <x v="0"/>
    <x v="0"/>
    <x v="6"/>
    <s v="T12"/>
    <x v="3"/>
    <n v="6.4131"/>
    <n v="14.44"/>
    <n v="1"/>
    <n v="4.3079000000000001"/>
    <n v="24.2056"/>
    <n v="0.8"/>
    <n v="2.4066666666666672"/>
    <n v="2890.4066666666672"/>
    <x v="0"/>
  </r>
  <r>
    <x v="1"/>
    <x v="0"/>
    <x v="11"/>
    <s v="CMTA11"/>
    <x v="3"/>
    <n v="6.0567000000000002"/>
    <n v="33.21"/>
    <n v="1"/>
    <n v="13.369199999999999"/>
    <n v="45.2258"/>
    <n v="0.76"/>
    <n v="3.69"/>
    <n v="4431.6899999999996"/>
    <x v="0"/>
  </r>
  <r>
    <x v="0"/>
    <x v="0"/>
    <x v="2"/>
    <s v="T13"/>
    <x v="3"/>
    <n v="5.4874999999999998"/>
    <n v="25.38"/>
    <n v="1"/>
    <n v="5.8849"/>
    <n v="34.187899999999999"/>
    <n v="0.69"/>
    <n v="4.2300000000000004"/>
    <n v="5080.2299999999996"/>
    <x v="0"/>
  </r>
  <r>
    <x v="1"/>
    <x v="0"/>
    <x v="7"/>
    <s v="CMTA01"/>
    <x v="3"/>
    <n v="5.27"/>
    <n v="53.37"/>
    <n v="1"/>
    <n v="19.6417"/>
    <n v="177.1438"/>
    <n v="0.66"/>
    <n v="5.93"/>
    <n v="7121.9299999999994"/>
    <x v="0"/>
  </r>
  <r>
    <x v="1"/>
    <x v="0"/>
    <x v="10"/>
    <s v="CMTA07"/>
    <x v="3"/>
    <n v="4.3632999999999997"/>
    <n v="196.33"/>
    <n v="1"/>
    <n v="52.647599999999997"/>
    <n v="201.27539999999999"/>
    <n v="0.55000000000000004"/>
    <n v="21.814444444444451"/>
    <n v="26199.14777777778"/>
    <x v="0"/>
  </r>
  <r>
    <x v="0"/>
    <x v="0"/>
    <x v="9"/>
    <s v="T6"/>
    <x v="3"/>
    <n v="3.8921999999999999"/>
    <n v="12.97"/>
    <n v="1"/>
    <n v="6.1536"/>
    <n v="63.060600000000001"/>
    <n v="0.49"/>
    <n v="2.1616666666666671"/>
    <n v="2596.161666666666"/>
    <x v="0"/>
  </r>
  <r>
    <x v="1"/>
    <x v="0"/>
    <x v="12"/>
    <s v="CMTA10"/>
    <x v="3"/>
    <n v="2.6724999999999999"/>
    <n v="39.39"/>
    <n v="1"/>
    <n v="19.309799999999999"/>
    <n v="89.000100000000003"/>
    <n v="0.33"/>
    <n v="4.3766666666666669"/>
    <n v="5256.376666666667"/>
    <x v="0"/>
  </r>
  <r>
    <x v="1"/>
    <x v="0"/>
    <x v="14"/>
    <s v="CMTA08"/>
    <x v="3"/>
    <n v="2.4413999999999998"/>
    <n v="55.39"/>
    <n v="1"/>
    <n v="27.157"/>
    <n v="114.8981"/>
    <n v="0.31"/>
    <n v="6.1544444444444446"/>
    <n v="7391.4877777777783"/>
    <x v="0"/>
  </r>
  <r>
    <x v="0"/>
    <x v="0"/>
    <x v="13"/>
    <s v="T5"/>
    <x v="3"/>
    <n v="2.4058000000000002"/>
    <n v="19.649999999999999"/>
    <n v="1"/>
    <n v="9.9192"/>
    <n v="30.372800000000002"/>
    <n v="0.3"/>
    <n v="3.2749999999999999"/>
    <n v="3933.2750000000001"/>
    <x v="0"/>
  </r>
  <r>
    <x v="0"/>
    <x v="0"/>
    <x v="8"/>
    <s v="T7"/>
    <x v="3"/>
    <n v="0.1167"/>
    <n v="0.03"/>
    <n v="0"/>
    <n v="5.0444000000000004"/>
    <n v="21.6128"/>
    <n v="0.01"/>
    <n v="5.0000000000000001E-3"/>
    <n v="6.0049999999999999"/>
    <x v="0"/>
  </r>
  <r>
    <x v="0"/>
    <x v="0"/>
    <x v="15"/>
    <s v="T9"/>
    <x v="3"/>
    <n v="5.9999999999999995E-4"/>
    <n v="0"/>
    <n v="0"/>
    <n v="0"/>
    <n v="0"/>
    <n v="0"/>
    <n v="0"/>
    <n v="0"/>
    <x v="0"/>
  </r>
  <r>
    <x v="1"/>
    <x v="1"/>
    <x v="16"/>
    <s v="CMTA03"/>
    <x v="3"/>
    <n v="0"/>
    <n v="66.92"/>
    <n v="1"/>
    <n v="31.355799999999999"/>
    <n v="120.7689"/>
    <n v="0"/>
    <n v="6.083636363636364"/>
    <n v="9429.636363636364"/>
    <x v="0"/>
  </r>
  <r>
    <x v="1"/>
    <x v="0"/>
    <x v="17"/>
    <s v="CMTA02"/>
    <x v="3"/>
    <n v="0"/>
    <n v="52.86"/>
    <n v="1"/>
    <n v="22.1708"/>
    <n v="86"/>
    <n v="0"/>
    <n v="5.8733333333333331"/>
    <n v="7053.873333333333"/>
    <x v="0"/>
  </r>
  <r>
    <x v="1"/>
    <x v="1"/>
    <x v="19"/>
    <s v="CMTA05"/>
    <x v="3"/>
    <n v="0"/>
    <n v="48.66"/>
    <n v="1"/>
    <n v="16.7349"/>
    <n v="98.804199999999994"/>
    <n v="0"/>
    <n v="4.4236363636363629"/>
    <n v="6856.6363636363621"/>
    <x v="0"/>
  </r>
  <r>
    <x v="1"/>
    <x v="1"/>
    <x v="18"/>
    <s v="CMTA04"/>
    <x v="3"/>
    <n v="0"/>
    <n v="124.28"/>
    <n v="1"/>
    <n v="29.566600000000001"/>
    <n v="105.0001"/>
    <n v="0"/>
    <n v="11.298181818181821"/>
    <n v="17512.18181818182"/>
    <x v="0"/>
  </r>
  <r>
    <x v="0"/>
    <x v="0"/>
    <x v="4"/>
    <s v="TA02"/>
    <x v="4"/>
    <n v="8.8994"/>
    <n v="10.84"/>
    <n v="1"/>
    <n v="5.7884000000000002"/>
    <n v="37.132599999999996"/>
    <n v="1.1100000000000001"/>
    <n v="1.8066666666666671"/>
    <n v="2169.8066666666668"/>
    <x v="0"/>
  </r>
  <r>
    <x v="0"/>
    <x v="0"/>
    <x v="3"/>
    <s v="TA01"/>
    <x v="4"/>
    <n v="6.9725000000000001"/>
    <n v="31.13"/>
    <n v="1"/>
    <n v="6.6063000000000001"/>
    <n v="33.261899999999997"/>
    <n v="0.87"/>
    <n v="5.1883333333333326"/>
    <n v="6231.1883333333344"/>
    <x v="0"/>
  </r>
  <r>
    <x v="0"/>
    <x v="0"/>
    <x v="2"/>
    <s v="T13"/>
    <x v="4"/>
    <n v="6.8060999999999998"/>
    <n v="33.32"/>
    <n v="1"/>
    <n v="9.2475000000000005"/>
    <n v="36.780700000000003"/>
    <n v="0.85"/>
    <n v="5.5533333333333337"/>
    <n v="6669.5533333333342"/>
    <x v="0"/>
  </r>
  <r>
    <x v="0"/>
    <x v="0"/>
    <x v="15"/>
    <s v="T9"/>
    <x v="4"/>
    <n v="5.5406000000000004"/>
    <n v="10.67"/>
    <n v="1"/>
    <n v="5.0288000000000004"/>
    <n v="20.835000000000001"/>
    <n v="0.69"/>
    <n v="1.7783333333333331"/>
    <n v="2135.7783333333332"/>
    <x v="0"/>
  </r>
  <r>
    <x v="0"/>
    <x v="0"/>
    <x v="1"/>
    <s v="T14"/>
    <x v="4"/>
    <n v="5.2664"/>
    <n v="51.31"/>
    <n v="1"/>
    <n v="14.390499999999999"/>
    <n v="45.151800000000001"/>
    <n v="0.66"/>
    <n v="8.5516666666666676"/>
    <n v="10270.55166666667"/>
    <x v="0"/>
  </r>
  <r>
    <x v="0"/>
    <x v="0"/>
    <x v="0"/>
    <s v="T4"/>
    <x v="4"/>
    <n v="5.1519000000000004"/>
    <n v="56.9"/>
    <n v="1"/>
    <n v="14.6349"/>
    <n v="34.928699999999999"/>
    <n v="0.64"/>
    <n v="9.4833333333333325"/>
    <n v="11389.48333333333"/>
    <x v="0"/>
  </r>
  <r>
    <x v="1"/>
    <x v="0"/>
    <x v="10"/>
    <s v="CMTA07"/>
    <x v="4"/>
    <n v="4.8844000000000003"/>
    <n v="155.81"/>
    <n v="1"/>
    <n v="38.974299999999999"/>
    <n v="230.66659999999999"/>
    <n v="0.61"/>
    <n v="17.312222222222221"/>
    <n v="20791.978888888891"/>
    <x v="0"/>
  </r>
  <r>
    <x v="0"/>
    <x v="0"/>
    <x v="6"/>
    <s v="T12"/>
    <x v="4"/>
    <n v="4.3772000000000002"/>
    <n v="12.85"/>
    <n v="1"/>
    <n v="6.3745000000000003"/>
    <n v="31.317299999999999"/>
    <n v="0.55000000000000004"/>
    <n v="2.1416666666666671"/>
    <n v="2572.141666666666"/>
    <x v="0"/>
  </r>
  <r>
    <x v="0"/>
    <x v="0"/>
    <x v="9"/>
    <s v="T6"/>
    <x v="4"/>
    <n v="4.3411"/>
    <n v="13.35"/>
    <n v="1"/>
    <n v="5.9859"/>
    <n v="36.000100000000003"/>
    <n v="0.54"/>
    <n v="2.2250000000000001"/>
    <n v="2672.2249999999999"/>
    <x v="0"/>
  </r>
  <r>
    <x v="1"/>
    <x v="0"/>
    <x v="12"/>
    <s v="CMTA10"/>
    <x v="4"/>
    <n v="3.3016999999999999"/>
    <n v="82.07"/>
    <n v="1"/>
    <n v="32.747300000000003"/>
    <n v="97.859700000000004"/>
    <n v="0.41"/>
    <n v="9.1188888888888879"/>
    <n v="10951.785555555551"/>
    <x v="0"/>
  </r>
  <r>
    <x v="1"/>
    <x v="0"/>
    <x v="11"/>
    <s v="CMTA11"/>
    <x v="4"/>
    <n v="3.0236000000000001"/>
    <n v="20.55"/>
    <n v="1"/>
    <n v="14.443099999999999"/>
    <n v="36.2622"/>
    <n v="0.38"/>
    <n v="2.2833333333333332"/>
    <n v="2742.2833333333328"/>
    <x v="0"/>
  </r>
  <r>
    <x v="0"/>
    <x v="0"/>
    <x v="13"/>
    <s v="T5"/>
    <x v="4"/>
    <n v="2.2383000000000002"/>
    <n v="16.73"/>
    <n v="1"/>
    <n v="9.4480000000000004"/>
    <n v="29.539400000000001"/>
    <n v="0.28000000000000003"/>
    <n v="2.788333333333334"/>
    <n v="3348.788333333333"/>
    <x v="0"/>
  </r>
  <r>
    <x v="0"/>
    <x v="0"/>
    <x v="8"/>
    <s v="T7"/>
    <x v="4"/>
    <n v="1.6086"/>
    <n v="6.09"/>
    <n v="1"/>
    <n v="8.0602999999999998"/>
    <n v="27.872599999999998"/>
    <n v="0.2"/>
    <n v="1.0149999999999999"/>
    <n v="1219.0150000000001"/>
    <x v="0"/>
  </r>
  <r>
    <x v="1"/>
    <x v="0"/>
    <x v="7"/>
    <s v="CMTA01"/>
    <x v="4"/>
    <n v="1.05"/>
    <n v="7.08"/>
    <n v="1"/>
    <n v="13.7285"/>
    <n v="46.374099999999999"/>
    <n v="0.13"/>
    <n v="0.78666666666666663"/>
    <n v="944.78666666666663"/>
    <x v="0"/>
  </r>
  <r>
    <x v="1"/>
    <x v="0"/>
    <x v="14"/>
    <s v="CMTA08"/>
    <x v="4"/>
    <n v="0.95440000000000003"/>
    <n v="24.84"/>
    <n v="1"/>
    <n v="30.762599999999999"/>
    <n v="114.30540000000001"/>
    <n v="0.12"/>
    <n v="2.76"/>
    <n v="3314.76"/>
    <x v="0"/>
  </r>
  <r>
    <x v="0"/>
    <x v="0"/>
    <x v="20"/>
    <s v="T8"/>
    <x v="4"/>
    <n v="0.40029999999999999"/>
    <n v="0.01"/>
    <n v="0"/>
    <n v="2.1372"/>
    <n v="11.204599999999999"/>
    <n v="0.05"/>
    <n v="1.666666666666667E-3"/>
    <n v="2.0016666666666669"/>
    <x v="0"/>
  </r>
  <r>
    <x v="0"/>
    <x v="0"/>
    <x v="5"/>
    <s v="T10"/>
    <x v="4"/>
    <n v="0.23780000000000001"/>
    <n v="0.03"/>
    <n v="0"/>
    <n v="3.1314000000000002"/>
    <n v="15.167899999999999"/>
    <n v="0.03"/>
    <n v="5.0000000000000001E-3"/>
    <n v="6.0049999999999999"/>
    <x v="0"/>
  </r>
  <r>
    <x v="1"/>
    <x v="1"/>
    <x v="18"/>
    <s v="CMTA04"/>
    <x v="4"/>
    <n v="0"/>
    <n v="75.319999999999993"/>
    <n v="1"/>
    <n v="26.949000000000002"/>
    <n v="84.000100000000003"/>
    <n v="0"/>
    <n v="6.8472727272727267"/>
    <n v="10613.27272727273"/>
    <x v="0"/>
  </r>
  <r>
    <x v="1"/>
    <x v="1"/>
    <x v="16"/>
    <s v="CMTA03"/>
    <x v="4"/>
    <n v="0"/>
    <n v="48.51"/>
    <n v="1"/>
    <n v="31.263100000000001"/>
    <n v="80.784199999999998"/>
    <n v="0"/>
    <n v="4.41"/>
    <n v="6835.5"/>
    <x v="0"/>
  </r>
  <r>
    <x v="1"/>
    <x v="0"/>
    <x v="17"/>
    <s v="CMTA02"/>
    <x v="4"/>
    <n v="0"/>
    <n v="50.16"/>
    <n v="1"/>
    <n v="21.482700000000001"/>
    <n v="73.000100000000003"/>
    <n v="0"/>
    <n v="5.5733333333333333"/>
    <n v="6693.5733333333328"/>
    <x v="0"/>
  </r>
  <r>
    <x v="1"/>
    <x v="1"/>
    <x v="19"/>
    <s v="CMTA05"/>
    <x v="4"/>
    <n v="0"/>
    <n v="43.13"/>
    <n v="1"/>
    <n v="15.529199999999999"/>
    <n v="61.000100000000003"/>
    <n v="0"/>
    <n v="3.9209090909090909"/>
    <n v="6077.4090909090919"/>
    <x v="0"/>
  </r>
  <r>
    <x v="0"/>
    <x v="0"/>
    <x v="8"/>
    <s v="T7"/>
    <x v="5"/>
    <n v="8.375"/>
    <n v="9.51"/>
    <n v="1"/>
    <n v="16.793700000000001"/>
    <n v="57.689799999999998"/>
    <n v="1.05"/>
    <n v="1.585"/>
    <n v="1903.585"/>
    <x v="0"/>
  </r>
  <r>
    <x v="0"/>
    <x v="0"/>
    <x v="13"/>
    <s v="T5"/>
    <x v="5"/>
    <n v="7.7744"/>
    <n v="35.24"/>
    <n v="1"/>
    <n v="5.3605999999999998"/>
    <n v="33.243400000000001"/>
    <n v="0.97"/>
    <n v="5.873333333333334"/>
    <n v="7053.8733333333339"/>
    <x v="0"/>
  </r>
  <r>
    <x v="0"/>
    <x v="0"/>
    <x v="3"/>
    <s v="TA01"/>
    <x v="5"/>
    <n v="6.8305999999999996"/>
    <n v="34.54"/>
    <n v="1"/>
    <n v="6.7431999999999999"/>
    <n v="38.836399999999998"/>
    <n v="0.85"/>
    <n v="5.7566666666666668"/>
    <n v="6913.7566666666671"/>
    <x v="0"/>
  </r>
  <r>
    <x v="0"/>
    <x v="0"/>
    <x v="1"/>
    <s v="T14"/>
    <x v="5"/>
    <n v="6.7853000000000003"/>
    <n v="64.95"/>
    <n v="1"/>
    <n v="13.161799999999999"/>
    <n v="64.042199999999994"/>
    <n v="0.85"/>
    <n v="10.824999999999999"/>
    <n v="13000.825000000001"/>
    <x v="0"/>
  </r>
  <r>
    <x v="0"/>
    <x v="0"/>
    <x v="0"/>
    <s v="T4"/>
    <x v="5"/>
    <n v="6.6044"/>
    <n v="59.95"/>
    <n v="1"/>
    <n v="10.3858"/>
    <n v="34.336100000000002"/>
    <n v="0.83"/>
    <n v="9.9916666666666671"/>
    <n v="11999.99166666667"/>
    <x v="0"/>
  </r>
  <r>
    <x v="0"/>
    <x v="0"/>
    <x v="2"/>
    <s v="T13"/>
    <x v="5"/>
    <n v="5.8844000000000003"/>
    <n v="43.16"/>
    <n v="1"/>
    <n v="10.9391"/>
    <n v="42.595999999999997"/>
    <n v="0.74"/>
    <n v="7.1933333333333316"/>
    <n v="8639.1933333333327"/>
    <x v="0"/>
  </r>
  <r>
    <x v="0"/>
    <x v="0"/>
    <x v="6"/>
    <s v="T12"/>
    <x v="5"/>
    <n v="5.0152999999999999"/>
    <n v="12.14"/>
    <n v="1"/>
    <n v="5.6761999999999997"/>
    <n v="24.0001"/>
    <n v="0.63"/>
    <n v="2.023333333333333"/>
    <n v="2430.023333333334"/>
    <x v="0"/>
  </r>
  <r>
    <x v="1"/>
    <x v="0"/>
    <x v="11"/>
    <s v="CMTA11"/>
    <x v="5"/>
    <n v="4.83"/>
    <n v="36.68"/>
    <n v="1"/>
    <n v="14.732200000000001"/>
    <n v="67.579499999999996"/>
    <n v="0.6"/>
    <n v="4.0755555555555558"/>
    <n v="4894.7422222222222"/>
    <x v="0"/>
  </r>
  <r>
    <x v="0"/>
    <x v="0"/>
    <x v="9"/>
    <s v="T6"/>
    <x v="5"/>
    <n v="4.7424999999999997"/>
    <n v="27.57"/>
    <n v="1"/>
    <n v="9.0655999999999999"/>
    <n v="89.081199999999995"/>
    <n v="0.59"/>
    <n v="4.5949999999999998"/>
    <n v="5518.5949999999993"/>
    <x v="0"/>
  </r>
  <r>
    <x v="1"/>
    <x v="0"/>
    <x v="10"/>
    <s v="CMTA07"/>
    <x v="5"/>
    <n v="4.4236000000000004"/>
    <n v="165.89"/>
    <n v="1"/>
    <n v="44.968200000000003"/>
    <n v="182.18119999999999"/>
    <n v="0.55000000000000004"/>
    <n v="18.432222222222219"/>
    <n v="22137.09888888889"/>
    <x v="0"/>
  </r>
  <r>
    <x v="0"/>
    <x v="0"/>
    <x v="5"/>
    <s v="T10"/>
    <x v="5"/>
    <n v="4.3422000000000001"/>
    <n v="22.17"/>
    <n v="1"/>
    <n v="8.6836000000000002"/>
    <n v="33.595300000000002"/>
    <n v="0.54"/>
    <n v="3.6949999999999998"/>
    <n v="4437.6950000000006"/>
    <x v="0"/>
  </r>
  <r>
    <x v="0"/>
    <x v="0"/>
    <x v="4"/>
    <s v="TA02"/>
    <x v="5"/>
    <n v="3.2208000000000001"/>
    <n v="2.5"/>
    <n v="1"/>
    <n v="7.7771999999999997"/>
    <n v="33.372999999999998"/>
    <n v="0.4"/>
    <n v="0.41666666666666669"/>
    <n v="500.41666666666669"/>
    <x v="0"/>
  </r>
  <r>
    <x v="1"/>
    <x v="0"/>
    <x v="7"/>
    <s v="CMTA01"/>
    <x v="5"/>
    <n v="2.7808000000000002"/>
    <n v="15"/>
    <n v="1"/>
    <n v="14.3752"/>
    <n v="67.338700000000003"/>
    <n v="0.35"/>
    <n v="1.666666666666667"/>
    <n v="2001.666666666667"/>
    <x v="0"/>
  </r>
  <r>
    <x v="1"/>
    <x v="0"/>
    <x v="12"/>
    <s v="CMTA10"/>
    <x v="5"/>
    <n v="2.6888999999999998"/>
    <n v="49"/>
    <n v="1"/>
    <n v="25.9541"/>
    <n v="88.618200000000002"/>
    <n v="0.34"/>
    <n v="5.4444444444444446"/>
    <n v="6538.7777777777783"/>
    <x v="0"/>
  </r>
  <r>
    <x v="0"/>
    <x v="0"/>
    <x v="20"/>
    <s v="T8"/>
    <x v="5"/>
    <n v="2.3605999999999998"/>
    <n v="16.690000000000001"/>
    <n v="1"/>
    <n v="10.001300000000001"/>
    <n v="39.336500000000001"/>
    <n v="0.3"/>
    <n v="2.7816666666666672"/>
    <n v="3340.7816666666672"/>
    <x v="0"/>
  </r>
  <r>
    <x v="0"/>
    <x v="0"/>
    <x v="15"/>
    <s v="T9"/>
    <x v="5"/>
    <n v="1.5793999999999999"/>
    <n v="2.57"/>
    <n v="1"/>
    <n v="5.9408000000000003"/>
    <n v="42.762700000000002"/>
    <n v="0.2"/>
    <n v="0.42833333333333329"/>
    <n v="514.42833333333328"/>
    <x v="0"/>
  </r>
  <r>
    <x v="1"/>
    <x v="0"/>
    <x v="14"/>
    <s v="CMTA08"/>
    <x v="5"/>
    <n v="1.1186"/>
    <n v="50.59"/>
    <n v="1"/>
    <n v="47.424599999999998"/>
    <n v="128.0001"/>
    <n v="0.14000000000000001"/>
    <n v="5.6211111111111114"/>
    <n v="6750.9544444444446"/>
    <x v="0"/>
  </r>
  <r>
    <x v="1"/>
    <x v="1"/>
    <x v="19"/>
    <s v="CMTA05"/>
    <x v="5"/>
    <n v="0"/>
    <n v="31.36"/>
    <n v="1"/>
    <n v="13.2927"/>
    <n v="38.000100000000003"/>
    <n v="0"/>
    <n v="2.8509090909090911"/>
    <n v="4418.909090909091"/>
    <x v="0"/>
  </r>
  <r>
    <x v="1"/>
    <x v="1"/>
    <x v="16"/>
    <s v="CMTA03"/>
    <x v="5"/>
    <n v="0"/>
    <n v="33.78"/>
    <n v="1"/>
    <n v="34.483699999999999"/>
    <n v="86"/>
    <n v="0"/>
    <n v="3.0709090909090908"/>
    <n v="4759.909090909091"/>
    <x v="0"/>
  </r>
  <r>
    <x v="1"/>
    <x v="1"/>
    <x v="18"/>
    <s v="CMTA04"/>
    <x v="5"/>
    <n v="0"/>
    <n v="76.45"/>
    <n v="1"/>
    <n v="28.947900000000001"/>
    <n v="117.0001"/>
    <n v="0"/>
    <n v="6.95"/>
    <n v="10772.5"/>
    <x v="0"/>
  </r>
  <r>
    <x v="1"/>
    <x v="0"/>
    <x v="17"/>
    <s v="CMTA02"/>
    <x v="5"/>
    <n v="0"/>
    <n v="64.73"/>
    <n v="1"/>
    <n v="20.797799999999999"/>
    <n v="91.000100000000003"/>
    <n v="0"/>
    <n v="7.192222222222223"/>
    <n v="8637.8588888888899"/>
    <x v="0"/>
  </r>
  <r>
    <x v="1"/>
    <x v="0"/>
    <x v="12"/>
    <s v="CMTA10"/>
    <x v="6"/>
    <n v="0.2011"/>
    <n v="1.25"/>
    <n v="1"/>
    <n v="9.8436000000000003"/>
    <n v="36.465899999999998"/>
    <n v="0.03"/>
    <n v="0.1388888888888889"/>
    <n v="166.8055555555556"/>
    <x v="1"/>
  </r>
  <r>
    <x v="1"/>
    <x v="0"/>
    <x v="14"/>
    <s v="CMTA08"/>
    <x v="6"/>
    <n v="9.2200000000000004E-2"/>
    <n v="0.85"/>
    <n v="0"/>
    <n v="17.370999999999999"/>
    <n v="59.000100000000003"/>
    <n v="0.01"/>
    <n v="9.4444444444444442E-2"/>
    <n v="113.42777777777781"/>
    <x v="1"/>
  </r>
  <r>
    <x v="1"/>
    <x v="1"/>
    <x v="16"/>
    <s v="CMTA03"/>
    <x v="7"/>
    <n v="0"/>
    <n v="8.57"/>
    <n v="1"/>
    <n v="29.000299999999999"/>
    <n v="78.209999999999994"/>
    <n v="0"/>
    <n v="0.77909090909090917"/>
    <n v="1207.590909090909"/>
    <x v="1"/>
  </r>
  <r>
    <x v="0"/>
    <x v="0"/>
    <x v="6"/>
    <s v="T12"/>
    <x v="6"/>
    <n v="0"/>
    <n v="0.11"/>
    <n v="0"/>
    <n v="10.0486"/>
    <n v="18.2607"/>
    <n v="0"/>
    <n v="1.833333333333333E-2"/>
    <n v="22.018333333333331"/>
    <x v="1"/>
  </r>
  <r>
    <x v="1"/>
    <x v="1"/>
    <x v="18"/>
    <s v="CMTA04"/>
    <x v="6"/>
    <n v="0"/>
    <n v="10.01"/>
    <n v="1"/>
    <n v="16.5886"/>
    <n v="62"/>
    <n v="0"/>
    <n v="0.91"/>
    <n v="1410.5"/>
    <x v="1"/>
  </r>
  <r>
    <x v="1"/>
    <x v="0"/>
    <x v="7"/>
    <s v="CMTA01"/>
    <x v="8"/>
    <n v="0.59219999999999995"/>
    <n v="20.8"/>
    <n v="1"/>
    <n v="36.342599999999997"/>
    <n v="108.02719999999999"/>
    <n v="7.0000000000000007E-2"/>
    <n v="2.3111111111111109"/>
    <n v="2775.6444444444451"/>
    <x v="1"/>
  </r>
  <r>
    <x v="1"/>
    <x v="0"/>
    <x v="12"/>
    <s v="CMTA10"/>
    <x v="8"/>
    <n v="0.21360000000000001"/>
    <n v="5.05"/>
    <n v="1"/>
    <n v="25.190899999999999"/>
    <n v="62"/>
    <n v="0.03"/>
    <n v="0.56111111111111112"/>
    <n v="673.8944444444445"/>
    <x v="1"/>
  </r>
  <r>
    <x v="1"/>
    <x v="0"/>
    <x v="12"/>
    <s v="CMTA10"/>
    <x v="9"/>
    <n v="4.4000000000000003E-3"/>
    <n v="0.02"/>
    <n v="0"/>
    <n v="1.4722999999999999"/>
    <n v="4"/>
    <n v="0"/>
    <n v="2.2222222222222218E-3"/>
    <n v="2.6688888888888891"/>
    <x v="1"/>
  </r>
  <r>
    <x v="1"/>
    <x v="1"/>
    <x v="18"/>
    <s v="CMTA04"/>
    <x v="8"/>
    <n v="0"/>
    <n v="15.54"/>
    <n v="1"/>
    <n v="28.6372"/>
    <n v="85.117900000000006"/>
    <n v="0"/>
    <n v="1.4127272727272731"/>
    <n v="2189.727272727273"/>
    <x v="1"/>
  </r>
  <r>
    <x v="1"/>
    <x v="1"/>
    <x v="16"/>
    <s v="CMTA03"/>
    <x v="9"/>
    <n v="0"/>
    <n v="12.59"/>
    <n v="1"/>
    <n v="33.037700000000001"/>
    <n v="85.599400000000003"/>
    <n v="0"/>
    <n v="1.144545454545455"/>
    <n v="1774.045454545455"/>
    <x v="1"/>
  </r>
  <r>
    <x v="1"/>
    <x v="1"/>
    <x v="16"/>
    <s v="CMTA03"/>
    <x v="8"/>
    <n v="0"/>
    <n v="19.97"/>
    <n v="1"/>
    <n v="27.2882"/>
    <n v="79.913799999999995"/>
    <n v="0"/>
    <n v="1.815454545454545"/>
    <n v="2813.954545454545"/>
    <x v="1"/>
  </r>
  <r>
    <x v="1"/>
    <x v="1"/>
    <x v="18"/>
    <s v="CMTA04"/>
    <x v="9"/>
    <n v="0"/>
    <n v="0.04"/>
    <n v="0"/>
    <n v="15.3901"/>
    <n v="31.6692"/>
    <n v="0"/>
    <n v="3.6363636363636359E-3"/>
    <n v="5.6363636363636367"/>
    <x v="1"/>
  </r>
  <r>
    <x v="0"/>
    <x v="0"/>
    <x v="8"/>
    <s v="T7"/>
    <x v="10"/>
    <n v="15.648099999999999"/>
    <n v="11.16"/>
    <n v="1"/>
    <n v="4.2747999999999999"/>
    <n v="66.431200000000004"/>
    <n v="1.96"/>
    <n v="1.86"/>
    <n v="2233.86"/>
    <x v="0"/>
  </r>
  <r>
    <x v="0"/>
    <x v="0"/>
    <x v="5"/>
    <s v="T10"/>
    <x v="10"/>
    <n v="8.1166999999999998"/>
    <n v="51.06"/>
    <n v="1"/>
    <n v="8.5930999999999997"/>
    <n v="44.262799999999999"/>
    <n v="1.01"/>
    <n v="8.51"/>
    <n v="10220.51"/>
    <x v="0"/>
  </r>
  <r>
    <x v="0"/>
    <x v="0"/>
    <x v="15"/>
    <s v="T9"/>
    <x v="10"/>
    <n v="7.8902999999999999"/>
    <n v="2.64"/>
    <n v="1"/>
    <n v="7.3662000000000001"/>
    <n v="34.243499999999997"/>
    <n v="0.99"/>
    <n v="0.44"/>
    <n v="528.44000000000005"/>
    <x v="0"/>
  </r>
  <r>
    <x v="0"/>
    <x v="0"/>
    <x v="2"/>
    <s v="T13"/>
    <x v="10"/>
    <n v="7.8696999999999999"/>
    <n v="37.380000000000003"/>
    <n v="1"/>
    <n v="5.83"/>
    <n v="23.4648"/>
    <n v="0.98"/>
    <n v="6.23"/>
    <n v="7482.23"/>
    <x v="0"/>
  </r>
  <r>
    <x v="0"/>
    <x v="0"/>
    <x v="4"/>
    <s v="TA02"/>
    <x v="10"/>
    <n v="7.7058"/>
    <n v="2.34"/>
    <n v="1"/>
    <n v="7.6224999999999996"/>
    <n v="158.53120000000001"/>
    <n v="0.96"/>
    <n v="0.39"/>
    <n v="468.38999999999987"/>
    <x v="0"/>
  </r>
  <r>
    <x v="0"/>
    <x v="0"/>
    <x v="13"/>
    <s v="T5"/>
    <x v="10"/>
    <n v="7.2233000000000001"/>
    <n v="39.159999999999997"/>
    <n v="1"/>
    <n v="6.0437000000000003"/>
    <n v="66.894199999999998"/>
    <n v="0.9"/>
    <n v="6.5266666666666664"/>
    <n v="7838.5266666666666"/>
    <x v="0"/>
  </r>
  <r>
    <x v="0"/>
    <x v="0"/>
    <x v="1"/>
    <s v="T14"/>
    <x v="10"/>
    <n v="7.0571999999999999"/>
    <n v="57.74"/>
    <n v="1"/>
    <n v="12.6252"/>
    <n v="42.244100000000003"/>
    <n v="0.88"/>
    <n v="9.6233333333333331"/>
    <n v="11557.623333333329"/>
    <x v="0"/>
  </r>
  <r>
    <x v="0"/>
    <x v="0"/>
    <x v="0"/>
    <s v="T4"/>
    <x v="10"/>
    <n v="6.9889000000000001"/>
    <n v="41.61"/>
    <n v="1"/>
    <n v="7.0853000000000002"/>
    <n v="33.002600000000001"/>
    <n v="0.87"/>
    <n v="6.9349999999999996"/>
    <n v="8328.9349999999995"/>
    <x v="0"/>
  </r>
  <r>
    <x v="0"/>
    <x v="0"/>
    <x v="3"/>
    <s v="TA01"/>
    <x v="10"/>
    <n v="6.8464"/>
    <n v="32.07"/>
    <n v="1"/>
    <n v="6.4284999999999997"/>
    <n v="31.150600000000001"/>
    <n v="0.86"/>
    <n v="5.3449999999999998"/>
    <n v="6419.3449999999993"/>
    <x v="0"/>
  </r>
  <r>
    <x v="1"/>
    <x v="0"/>
    <x v="7"/>
    <s v="CMTA01"/>
    <x v="10"/>
    <n v="6.6738999999999997"/>
    <n v="82.76"/>
    <n v="1"/>
    <n v="22.752600000000001"/>
    <n v="111.97190000000001"/>
    <n v="0.83"/>
    <n v="9.1955555555555559"/>
    <n v="11043.86222222222"/>
    <x v="0"/>
  </r>
  <r>
    <x v="1"/>
    <x v="0"/>
    <x v="10"/>
    <s v="CMTA07"/>
    <x v="10"/>
    <n v="5.0506000000000002"/>
    <n v="136.69"/>
    <n v="1"/>
    <n v="37.259700000000002"/>
    <n v="203.4237"/>
    <n v="0.63"/>
    <n v="15.18777777777778"/>
    <n v="18240.521111111109"/>
    <x v="0"/>
  </r>
  <r>
    <x v="0"/>
    <x v="0"/>
    <x v="6"/>
    <s v="T12"/>
    <x v="10"/>
    <n v="4.2747000000000002"/>
    <n v="21.02"/>
    <n v="1"/>
    <n v="6.6699000000000002"/>
    <n v="66.857200000000006"/>
    <n v="0.53"/>
    <n v="3.503333333333333"/>
    <n v="4207.5033333333331"/>
    <x v="0"/>
  </r>
  <r>
    <x v="1"/>
    <x v="0"/>
    <x v="12"/>
    <s v="CMTA10"/>
    <x v="10"/>
    <n v="3.9424999999999999"/>
    <n v="78.16"/>
    <n v="1"/>
    <n v="25.9999"/>
    <n v="304.00580000000002"/>
    <n v="0.49"/>
    <n v="8.6844444444444449"/>
    <n v="10430.017777777781"/>
    <x v="0"/>
  </r>
  <r>
    <x v="1"/>
    <x v="0"/>
    <x v="11"/>
    <s v="CMTA11"/>
    <x v="10"/>
    <n v="3.2492000000000001"/>
    <n v="47.59"/>
    <n v="1"/>
    <n v="16.466000000000001"/>
    <n v="55"/>
    <n v="0.41"/>
    <n v="5.2877777777777784"/>
    <n v="6350.6211111111124"/>
    <x v="0"/>
  </r>
  <r>
    <x v="1"/>
    <x v="0"/>
    <x v="14"/>
    <s v="CMTA08"/>
    <x v="10"/>
    <n v="0.91469999999999996"/>
    <n v="30.86"/>
    <n v="1"/>
    <n v="39.573799999999999"/>
    <n v="115.0001"/>
    <n v="0.11"/>
    <n v="3.4288888888888889"/>
    <n v="4118.0955555555556"/>
    <x v="0"/>
  </r>
  <r>
    <x v="1"/>
    <x v="1"/>
    <x v="19"/>
    <s v="CMTA05"/>
    <x v="10"/>
    <n v="0"/>
    <n v="61.76"/>
    <n v="1"/>
    <n v="19.622499999999999"/>
    <n v="91.637"/>
    <n v="0"/>
    <n v="5.6145454545454543"/>
    <n v="8702.545454545454"/>
    <x v="0"/>
  </r>
  <r>
    <x v="1"/>
    <x v="1"/>
    <x v="16"/>
    <s v="CMTA03"/>
    <x v="10"/>
    <n v="0"/>
    <n v="92.43"/>
    <n v="1"/>
    <n v="46.045099999999998"/>
    <n v="114.0001"/>
    <n v="0"/>
    <n v="8.4027272727272742"/>
    <n v="13024.227272727279"/>
    <x v="0"/>
  </r>
  <r>
    <x v="1"/>
    <x v="1"/>
    <x v="18"/>
    <s v="CMTA04"/>
    <x v="10"/>
    <n v="0"/>
    <n v="40.31"/>
    <n v="1"/>
    <n v="26.648700000000002"/>
    <n v="89.000100000000003"/>
    <n v="0"/>
    <n v="3.664545454545455"/>
    <n v="5680.045454545455"/>
    <x v="0"/>
  </r>
  <r>
    <x v="1"/>
    <x v="0"/>
    <x v="17"/>
    <s v="CMTA02"/>
    <x v="10"/>
    <n v="0"/>
    <n v="31.65"/>
    <n v="1"/>
    <n v="16.023399999999999"/>
    <n v="53.244999999999997"/>
    <n v="0"/>
    <n v="3.5166666666666671"/>
    <n v="4223.5166666666664"/>
    <x v="0"/>
  </r>
  <r>
    <x v="0"/>
    <x v="0"/>
    <x v="8"/>
    <s v="T7"/>
    <x v="11"/>
    <n v="9.5767000000000007"/>
    <n v="22.41"/>
    <n v="1"/>
    <n v="5.7923999999999998"/>
    <n v="22.65"/>
    <n v="1.2"/>
    <n v="3.7349999999999999"/>
    <n v="4485.7349999999997"/>
    <x v="0"/>
  </r>
  <r>
    <x v="0"/>
    <x v="0"/>
    <x v="3"/>
    <s v="TA01"/>
    <x v="11"/>
    <n v="6.5496999999999996"/>
    <n v="28.89"/>
    <n v="1"/>
    <n v="5.8651"/>
    <n v="25.557600000000001"/>
    <n v="0.82"/>
    <n v="4.8150000000000004"/>
    <n v="5782.8150000000014"/>
    <x v="0"/>
  </r>
  <r>
    <x v="0"/>
    <x v="0"/>
    <x v="4"/>
    <s v="TA02"/>
    <x v="11"/>
    <n v="6.1722000000000001"/>
    <n v="2.29"/>
    <n v="1"/>
    <n v="6.8064999999999998"/>
    <n v="151.0121"/>
    <n v="0.77"/>
    <n v="0.38166666666666671"/>
    <n v="458.38166666666672"/>
    <x v="0"/>
  </r>
  <r>
    <x v="0"/>
    <x v="0"/>
    <x v="2"/>
    <s v="T13"/>
    <x v="11"/>
    <n v="5.8849999999999998"/>
    <n v="23.9"/>
    <n v="1"/>
    <n v="5.8244999999999996"/>
    <n v="33.595300000000002"/>
    <n v="0.74"/>
    <n v="3.9833333333333329"/>
    <n v="4783.9833333333327"/>
    <x v="0"/>
  </r>
  <r>
    <x v="0"/>
    <x v="0"/>
    <x v="5"/>
    <s v="T10"/>
    <x v="11"/>
    <n v="5.3117000000000001"/>
    <n v="26.94"/>
    <n v="1"/>
    <n v="5.4786999999999999"/>
    <n v="25.613199999999999"/>
    <n v="0.66"/>
    <n v="4.49"/>
    <n v="5392.4900000000007"/>
    <x v="0"/>
  </r>
  <r>
    <x v="0"/>
    <x v="0"/>
    <x v="9"/>
    <s v="T6"/>
    <x v="11"/>
    <n v="5.1275000000000004"/>
    <n v="6.17"/>
    <n v="1"/>
    <n v="4.6376999999999997"/>
    <n v="26.6873"/>
    <n v="0.64"/>
    <n v="1.0283333333333331"/>
    <n v="1235.028333333333"/>
    <x v="0"/>
  </r>
  <r>
    <x v="1"/>
    <x v="0"/>
    <x v="10"/>
    <s v="CMTA07"/>
    <x v="11"/>
    <n v="4.9717000000000002"/>
    <n v="164.23"/>
    <n v="1"/>
    <n v="41.136600000000001"/>
    <n v="159.29050000000001"/>
    <n v="0.62"/>
    <n v="18.247777777777781"/>
    <n v="21915.581111111111"/>
    <x v="0"/>
  </r>
  <r>
    <x v="1"/>
    <x v="0"/>
    <x v="11"/>
    <s v="CMTA11"/>
    <x v="11"/>
    <n v="4.1256000000000004"/>
    <n v="35.54"/>
    <n v="1"/>
    <n v="16.135999999999999"/>
    <n v="47.559399999999997"/>
    <n v="0.52"/>
    <n v="3.9488888888888889"/>
    <n v="4742.6155555555551"/>
    <x v="0"/>
  </r>
  <r>
    <x v="1"/>
    <x v="0"/>
    <x v="7"/>
    <s v="CMTA01"/>
    <x v="11"/>
    <n v="3.7886000000000002"/>
    <n v="33.5"/>
    <n v="1"/>
    <n v="17.942"/>
    <n v="97.915199999999999"/>
    <n v="0.47"/>
    <n v="3.7222222222222219"/>
    <n v="4470.3888888888887"/>
    <x v="0"/>
  </r>
  <r>
    <x v="1"/>
    <x v="0"/>
    <x v="12"/>
    <s v="CMTA10"/>
    <x v="11"/>
    <n v="3.7258"/>
    <n v="99.86"/>
    <n v="1"/>
    <n v="30.274999999999999"/>
    <n v="131.75129999999999"/>
    <n v="0.47"/>
    <n v="11.09555555555556"/>
    <n v="13325.76222222222"/>
    <x v="0"/>
  </r>
  <r>
    <x v="0"/>
    <x v="0"/>
    <x v="6"/>
    <s v="T12"/>
    <x v="11"/>
    <n v="3.3725000000000001"/>
    <n v="17.77"/>
    <n v="1"/>
    <n v="6.7205000000000004"/>
    <n v="128.08430000000001"/>
    <n v="0.42"/>
    <n v="2.961666666666666"/>
    <n v="3556.961666666667"/>
    <x v="0"/>
  </r>
  <r>
    <x v="0"/>
    <x v="0"/>
    <x v="20"/>
    <s v="T8"/>
    <x v="11"/>
    <n v="2.5857999999999999"/>
    <n v="19.87"/>
    <n v="1"/>
    <n v="9.0486000000000004"/>
    <n v="41.058799999999998"/>
    <n v="0.32"/>
    <n v="3.311666666666667"/>
    <n v="3977.311666666667"/>
    <x v="0"/>
  </r>
  <r>
    <x v="0"/>
    <x v="0"/>
    <x v="1"/>
    <s v="T14"/>
    <x v="11"/>
    <n v="2.3028"/>
    <n v="23.79"/>
    <n v="1"/>
    <n v="15.43"/>
    <n v="45.355499999999999"/>
    <n v="0.28999999999999998"/>
    <n v="3.9649999999999999"/>
    <n v="4761.9650000000001"/>
    <x v="0"/>
  </r>
  <r>
    <x v="1"/>
    <x v="0"/>
    <x v="14"/>
    <s v="CMTA08"/>
    <x v="11"/>
    <n v="1.2243999999999999"/>
    <n v="28.19"/>
    <n v="1"/>
    <n v="26.984300000000001"/>
    <n v="106.2863"/>
    <n v="0.15"/>
    <n v="3.132222222222222"/>
    <n v="3761.798888888889"/>
    <x v="0"/>
  </r>
  <r>
    <x v="0"/>
    <x v="0"/>
    <x v="13"/>
    <s v="T5"/>
    <x v="11"/>
    <n v="0.31309999999999999"/>
    <n v="1.47"/>
    <n v="1"/>
    <n v="9.5390999999999995"/>
    <n v="21"/>
    <n v="0.04"/>
    <n v="0.245"/>
    <n v="294.245"/>
    <x v="0"/>
  </r>
  <r>
    <x v="0"/>
    <x v="0"/>
    <x v="0"/>
    <s v="T4"/>
    <x v="11"/>
    <n v="1.17E-2"/>
    <n v="0.01"/>
    <n v="0"/>
    <n v="18.8719"/>
    <n v="54.300600000000003"/>
    <n v="0"/>
    <n v="1.666666666666667E-3"/>
    <n v="2.0016666666666669"/>
    <x v="0"/>
  </r>
  <r>
    <x v="1"/>
    <x v="0"/>
    <x v="17"/>
    <s v="CMTA02"/>
    <x v="11"/>
    <n v="0"/>
    <n v="54.04"/>
    <n v="1"/>
    <n v="26.2499"/>
    <n v="113.7128"/>
    <n v="0"/>
    <n v="6.0044444444444443"/>
    <n v="7211.3377777777778"/>
    <x v="0"/>
  </r>
  <r>
    <x v="1"/>
    <x v="1"/>
    <x v="16"/>
    <s v="CMTA03"/>
    <x v="11"/>
    <n v="0"/>
    <n v="6.7"/>
    <n v="1"/>
    <n v="24.831099999999999"/>
    <n v="80.302700000000002"/>
    <n v="0"/>
    <n v="0.60909090909090913"/>
    <n v="944.09090909090912"/>
    <x v="0"/>
  </r>
  <r>
    <x v="1"/>
    <x v="1"/>
    <x v="19"/>
    <s v="CMTA05"/>
    <x v="11"/>
    <n v="0"/>
    <n v="69.47"/>
    <n v="1"/>
    <n v="22.831"/>
    <n v="84.000100000000003"/>
    <n v="0"/>
    <n v="6.3154545454545454"/>
    <n v="9788.954545454546"/>
    <x v="0"/>
  </r>
  <r>
    <x v="1"/>
    <x v="1"/>
    <x v="18"/>
    <s v="CMTA04"/>
    <x v="11"/>
    <n v="0"/>
    <n v="67.28"/>
    <n v="1"/>
    <n v="29.799499999999998"/>
    <n v="98.915300000000002"/>
    <n v="0"/>
    <n v="6.1163636363636362"/>
    <n v="9480.363636363636"/>
    <x v="0"/>
  </r>
  <r>
    <x v="0"/>
    <x v="0"/>
    <x v="3"/>
    <s v="TA01"/>
    <x v="12"/>
    <n v="8.3432999999999993"/>
    <n v="5.81"/>
    <n v="1"/>
    <n v="6.1867999999999999"/>
    <n v="31.095099999999999"/>
    <n v="1.04"/>
    <n v="0.96833333333333327"/>
    <n v="1162.968333333333"/>
    <x v="0"/>
  </r>
  <r>
    <x v="0"/>
    <x v="0"/>
    <x v="8"/>
    <s v="T7"/>
    <x v="12"/>
    <n v="8.2003000000000004"/>
    <n v="18.829999999999998"/>
    <n v="1"/>
    <n v="5.4505999999999997"/>
    <n v="34.910200000000003"/>
    <n v="1.03"/>
    <n v="3.1383333333333332"/>
    <n v="3769.1383333333329"/>
    <x v="0"/>
  </r>
  <r>
    <x v="0"/>
    <x v="0"/>
    <x v="2"/>
    <s v="T13"/>
    <x v="12"/>
    <n v="6.4657999999999998"/>
    <n v="12.57"/>
    <n v="1"/>
    <n v="5.9151999999999996"/>
    <n v="24.0001"/>
    <n v="0.81"/>
    <n v="2.0950000000000002"/>
    <n v="2516.0949999999998"/>
    <x v="0"/>
  </r>
  <r>
    <x v="0"/>
    <x v="0"/>
    <x v="4"/>
    <s v="TA02"/>
    <x v="12"/>
    <n v="6.0650000000000004"/>
    <n v="19.2"/>
    <n v="1"/>
    <n v="19.957100000000001"/>
    <n v="47.318600000000004"/>
    <n v="0.76"/>
    <n v="3.2"/>
    <n v="3843.2"/>
    <x v="0"/>
  </r>
  <r>
    <x v="1"/>
    <x v="0"/>
    <x v="11"/>
    <s v="CMTA11"/>
    <x v="12"/>
    <n v="5.5138999999999996"/>
    <n v="75.97"/>
    <n v="1"/>
    <n v="20.2347"/>
    <n v="92"/>
    <n v="0.69"/>
    <n v="8.4411111111111108"/>
    <n v="10137.77444444444"/>
    <x v="0"/>
  </r>
  <r>
    <x v="0"/>
    <x v="0"/>
    <x v="9"/>
    <s v="T6"/>
    <x v="12"/>
    <n v="5.29"/>
    <n v="9.5299999999999994"/>
    <n v="1"/>
    <n v="4.6425999999999998"/>
    <n v="40.725499999999997"/>
    <n v="0.66"/>
    <n v="1.5883333333333329"/>
    <n v="1907.5883333333329"/>
    <x v="0"/>
  </r>
  <r>
    <x v="0"/>
    <x v="0"/>
    <x v="6"/>
    <s v="T12"/>
    <x v="12"/>
    <n v="4.5232999999999999"/>
    <n v="34.409999999999997"/>
    <n v="1"/>
    <n v="9.2946000000000009"/>
    <n v="46.114800000000002"/>
    <n v="0.56999999999999995"/>
    <n v="5.7349999999999994"/>
    <n v="6887.7349999999997"/>
    <x v="0"/>
  </r>
  <r>
    <x v="1"/>
    <x v="0"/>
    <x v="10"/>
    <s v="CMTA07"/>
    <x v="12"/>
    <n v="4.1327999999999996"/>
    <n v="150.02000000000001"/>
    <n v="1"/>
    <n v="41.6599"/>
    <n v="206.60910000000001"/>
    <n v="0.52"/>
    <n v="16.66888888888889"/>
    <n v="20019.335555555561"/>
    <x v="0"/>
  </r>
  <r>
    <x v="1"/>
    <x v="0"/>
    <x v="7"/>
    <s v="CMTA01"/>
    <x v="12"/>
    <n v="4.0503"/>
    <n v="32.61"/>
    <n v="1"/>
    <n v="17.844799999999999"/>
    <n v="137.9555"/>
    <n v="0.51"/>
    <n v="3.6233333333333331"/>
    <n v="4351.623333333333"/>
    <x v="0"/>
  </r>
  <r>
    <x v="0"/>
    <x v="0"/>
    <x v="1"/>
    <s v="T14"/>
    <x v="12"/>
    <n v="3.5882999999999998"/>
    <n v="1.92"/>
    <n v="1"/>
    <n v="5.2004000000000001"/>
    <n v="22.409199999999998"/>
    <n v="0.45"/>
    <n v="0.32"/>
    <n v="384.32"/>
    <x v="0"/>
  </r>
  <r>
    <x v="0"/>
    <x v="0"/>
    <x v="8"/>
    <s v="T7"/>
    <x v="13"/>
    <n v="2.8496999999999999"/>
    <n v="4.67"/>
    <n v="1"/>
    <n v="4.2988999999999997"/>
    <n v="22.872199999999999"/>
    <n v="0.36"/>
    <n v="0.77833333333333332"/>
    <n v="934.77833333333331"/>
    <x v="1"/>
  </r>
  <r>
    <x v="0"/>
    <x v="0"/>
    <x v="5"/>
    <s v="T10"/>
    <x v="12"/>
    <n v="2.8264"/>
    <n v="11.7"/>
    <n v="1"/>
    <n v="6.6830999999999996"/>
    <n v="42.984900000000003"/>
    <n v="0.35"/>
    <n v="1.95"/>
    <n v="2341.9499999999998"/>
    <x v="0"/>
  </r>
  <r>
    <x v="0"/>
    <x v="0"/>
    <x v="20"/>
    <s v="T8"/>
    <x v="12"/>
    <n v="2.7919"/>
    <n v="19.05"/>
    <n v="1"/>
    <n v="7.8954000000000004"/>
    <n v="32.113700000000001"/>
    <n v="0.35"/>
    <n v="3.1749999999999998"/>
    <n v="3813.1750000000002"/>
    <x v="0"/>
  </r>
  <r>
    <x v="0"/>
    <x v="0"/>
    <x v="13"/>
    <s v="T5"/>
    <x v="13"/>
    <n v="2.0672000000000001"/>
    <n v="9.8800000000000008"/>
    <n v="1"/>
    <n v="10.454800000000001"/>
    <n v="57.7639"/>
    <n v="0.26"/>
    <n v="1.6466666666666669"/>
    <n v="1977.646666666667"/>
    <x v="1"/>
  </r>
  <r>
    <x v="1"/>
    <x v="0"/>
    <x v="12"/>
    <s v="CMTA10"/>
    <x v="12"/>
    <n v="1.7488999999999999"/>
    <n v="41.13"/>
    <n v="1"/>
    <n v="30.6113"/>
    <n v="94.7483"/>
    <n v="0.22"/>
    <n v="4.57"/>
    <n v="5488.5700000000006"/>
    <x v="0"/>
  </r>
  <r>
    <x v="1"/>
    <x v="0"/>
    <x v="14"/>
    <s v="CMTA08"/>
    <x v="12"/>
    <n v="1.7178"/>
    <n v="40.11"/>
    <n v="1"/>
    <n v="27.671800000000001"/>
    <n v="116.8056"/>
    <n v="0.21"/>
    <n v="4.456666666666667"/>
    <n v="5352.4566666666669"/>
    <x v="0"/>
  </r>
  <r>
    <x v="1"/>
    <x v="0"/>
    <x v="7"/>
    <s v="CMTA01"/>
    <x v="13"/>
    <n v="0.83"/>
    <n v="21.49"/>
    <n v="1"/>
    <n v="45.637999999999998"/>
    <n v="192.97839999999999"/>
    <n v="0.1"/>
    <n v="2.387777777777778"/>
    <n v="2867.721111111111"/>
    <x v="1"/>
  </r>
  <r>
    <x v="1"/>
    <x v="0"/>
    <x v="10"/>
    <s v="CMTA07"/>
    <x v="13"/>
    <n v="0.57999999999999996"/>
    <n v="9.5399999999999991"/>
    <n v="1"/>
    <n v="23.148399999999999"/>
    <n v="63"/>
    <n v="7.0000000000000007E-2"/>
    <n v="1.06"/>
    <n v="1273.06"/>
    <x v="1"/>
  </r>
  <r>
    <x v="1"/>
    <x v="0"/>
    <x v="7"/>
    <s v="CMTA01"/>
    <x v="14"/>
    <n v="0.43309999999999998"/>
    <n v="12.94"/>
    <n v="1"/>
    <n v="32.247399999999999"/>
    <n v="76"/>
    <n v="0.05"/>
    <n v="1.437777777777778"/>
    <n v="1726.7711111111109"/>
    <x v="1"/>
  </r>
  <r>
    <x v="0"/>
    <x v="0"/>
    <x v="13"/>
    <s v="T5"/>
    <x v="12"/>
    <n v="0.29249999999999998"/>
    <n v="3.45"/>
    <n v="1"/>
    <n v="13.9374"/>
    <n v="33.650799999999997"/>
    <n v="0.04"/>
    <n v="0.57500000000000007"/>
    <n v="690.57500000000005"/>
    <x v="0"/>
  </r>
  <r>
    <x v="1"/>
    <x v="0"/>
    <x v="12"/>
    <s v="CMTA10"/>
    <x v="14"/>
    <n v="9.2499999999999999E-2"/>
    <n v="7.0000000000000007E-2"/>
    <n v="0"/>
    <n v="5.7119999999999997"/>
    <n v="25.187200000000001"/>
    <n v="0.01"/>
    <n v="7.7777777777777784E-3"/>
    <n v="9.3411111111111111"/>
    <x v="1"/>
  </r>
  <r>
    <x v="1"/>
    <x v="0"/>
    <x v="12"/>
    <s v="CMTA10"/>
    <x v="13"/>
    <n v="6.8999999999999999E-3"/>
    <n v="0.04"/>
    <n v="0"/>
    <n v="6.6280999999999999"/>
    <n v="27.1874"/>
    <n v="0"/>
    <n v="4.4444444444444436E-3"/>
    <n v="5.3377777777777782"/>
    <x v="1"/>
  </r>
  <r>
    <x v="0"/>
    <x v="0"/>
    <x v="5"/>
    <s v="T10"/>
    <x v="14"/>
    <n v="1.6999999999999999E-3"/>
    <n v="0"/>
    <n v="0"/>
    <n v="0"/>
    <n v="0"/>
    <n v="0"/>
    <n v="0"/>
    <n v="0"/>
    <x v="1"/>
  </r>
  <r>
    <x v="1"/>
    <x v="1"/>
    <x v="16"/>
    <s v="CMTA03"/>
    <x v="13"/>
    <n v="0"/>
    <n v="20.53"/>
    <n v="1"/>
    <n v="37.575299999999999"/>
    <n v="84.000100000000003"/>
    <n v="0"/>
    <n v="1.866363636363636"/>
    <n v="2892.863636363636"/>
    <x v="1"/>
  </r>
  <r>
    <x v="1"/>
    <x v="1"/>
    <x v="18"/>
    <s v="CMTA04"/>
    <x v="13"/>
    <n v="0"/>
    <n v="6.7"/>
    <n v="1"/>
    <n v="22.539100000000001"/>
    <n v="89.000100000000003"/>
    <n v="0"/>
    <n v="0.60909090909090913"/>
    <n v="944.09090909090912"/>
    <x v="1"/>
  </r>
  <r>
    <x v="1"/>
    <x v="1"/>
    <x v="16"/>
    <s v="CMTA03"/>
    <x v="14"/>
    <n v="0"/>
    <n v="0.05"/>
    <n v="0"/>
    <n v="6.9078999999999997"/>
    <n v="19.6312"/>
    <n v="0"/>
    <n v="4.5454545454545461E-3"/>
    <n v="7.0454545454545467"/>
    <x v="1"/>
  </r>
  <r>
    <x v="1"/>
    <x v="1"/>
    <x v="18"/>
    <s v="CMTA04"/>
    <x v="12"/>
    <n v="0"/>
    <n v="124.95"/>
    <n v="1"/>
    <n v="52.524099999999997"/>
    <n v="157.93860000000001"/>
    <n v="0"/>
    <n v="11.359090909090909"/>
    <n v="17606.590909090912"/>
    <x v="0"/>
  </r>
  <r>
    <x v="1"/>
    <x v="1"/>
    <x v="16"/>
    <s v="CMTA03"/>
    <x v="12"/>
    <n v="0"/>
    <n v="37.94"/>
    <n v="1"/>
    <n v="29.592500000000001"/>
    <n v="96.266999999999996"/>
    <n v="0"/>
    <n v="3.4490909090909092"/>
    <n v="5346.090909090909"/>
    <x v="0"/>
  </r>
  <r>
    <x v="1"/>
    <x v="1"/>
    <x v="18"/>
    <s v="CMTA04"/>
    <x v="14"/>
    <n v="0"/>
    <n v="0.01"/>
    <n v="0"/>
    <n v="14.797499999999999"/>
    <n v="14.797499999999999"/>
    <n v="0"/>
    <n v="9.0909090909090909E-4"/>
    <n v="1.4090909090909089"/>
    <x v="1"/>
  </r>
  <r>
    <x v="1"/>
    <x v="0"/>
    <x v="17"/>
    <s v="CMTA02"/>
    <x v="14"/>
    <n v="0"/>
    <n v="3.16"/>
    <n v="1"/>
    <n v="17.995100000000001"/>
    <n v="40.262500000000003"/>
    <n v="0"/>
    <n v="0.35111111111111121"/>
    <n v="421.68444444444452"/>
    <x v="1"/>
  </r>
  <r>
    <x v="1"/>
    <x v="0"/>
    <x v="17"/>
    <s v="CMTA02"/>
    <x v="12"/>
    <n v="0"/>
    <n v="70.92"/>
    <n v="1"/>
    <n v="26.103100000000001"/>
    <n v="87.007000000000005"/>
    <n v="0"/>
    <n v="7.88"/>
    <n v="9463.8799999999992"/>
    <x v="0"/>
  </r>
  <r>
    <x v="1"/>
    <x v="1"/>
    <x v="19"/>
    <s v="CMTA05"/>
    <x v="12"/>
    <n v="0"/>
    <n v="64.28"/>
    <n v="1"/>
    <n v="21.938500000000001"/>
    <n v="94.766800000000003"/>
    <n v="0"/>
    <n v="5.8436363636363637"/>
    <n v="9057.636363636364"/>
    <x v="0"/>
  </r>
  <r>
    <x v="1"/>
    <x v="0"/>
    <x v="7"/>
    <s v="CMTA01"/>
    <x v="15"/>
    <n v="8.7746999999999993"/>
    <n v="36.770000000000003"/>
    <n v="1"/>
    <n v="16.922699999999999"/>
    <n v="64.375500000000002"/>
    <n v="1.1000000000000001"/>
    <n v="4.0855555555555556"/>
    <n v="4906.7522222222224"/>
    <x v="0"/>
  </r>
  <r>
    <x v="0"/>
    <x v="0"/>
    <x v="2"/>
    <s v="T13"/>
    <x v="15"/>
    <n v="8.6811000000000007"/>
    <n v="23.07"/>
    <n v="1"/>
    <n v="5.4349999999999996"/>
    <n v="33.187800000000003"/>
    <n v="1.0900000000000001"/>
    <n v="3.8450000000000002"/>
    <n v="4617.8450000000003"/>
    <x v="0"/>
  </r>
  <r>
    <x v="0"/>
    <x v="0"/>
    <x v="8"/>
    <s v="T7"/>
    <x v="15"/>
    <n v="6.7324999999999999"/>
    <n v="22.03"/>
    <n v="1"/>
    <n v="5.3484999999999996"/>
    <n v="17.408799999999999"/>
    <n v="0.84"/>
    <n v="3.6716666666666669"/>
    <n v="4409.6716666666671"/>
    <x v="0"/>
  </r>
  <r>
    <x v="0"/>
    <x v="0"/>
    <x v="2"/>
    <s v="T13"/>
    <x v="16"/>
    <n v="6.665"/>
    <n v="18.29"/>
    <n v="1"/>
    <n v="5.4957000000000003"/>
    <n v="18.8904"/>
    <n v="0.83"/>
    <n v="3.0483333333333329"/>
    <n v="3661.0483333333332"/>
    <x v="0"/>
  </r>
  <r>
    <x v="1"/>
    <x v="0"/>
    <x v="11"/>
    <s v="CMTA11"/>
    <x v="16"/>
    <n v="6.6528"/>
    <n v="46.31"/>
    <n v="1"/>
    <n v="7.0149999999999997"/>
    <n v="77"/>
    <n v="0.83"/>
    <n v="5.1455555555555561"/>
    <n v="6179.8122222222228"/>
    <x v="0"/>
  </r>
  <r>
    <x v="1"/>
    <x v="0"/>
    <x v="10"/>
    <s v="CMTA07"/>
    <x v="15"/>
    <n v="6.0152999999999999"/>
    <n v="163.87"/>
    <n v="1"/>
    <n v="33.935600000000001"/>
    <n v="178.16239999999999"/>
    <n v="0.75"/>
    <n v="18.207777777777778"/>
    <n v="21867.54111111111"/>
    <x v="0"/>
  </r>
  <r>
    <x v="1"/>
    <x v="0"/>
    <x v="11"/>
    <s v="CMTA11"/>
    <x v="15"/>
    <n v="4.8041999999999998"/>
    <n v="175.57"/>
    <n v="1"/>
    <n v="30.835599999999999"/>
    <n v="159.0498"/>
    <n v="0.6"/>
    <n v="19.507777777777779"/>
    <n v="23428.841111111109"/>
    <x v="0"/>
  </r>
  <r>
    <x v="0"/>
    <x v="0"/>
    <x v="9"/>
    <s v="T6"/>
    <x v="15"/>
    <n v="4.7011000000000003"/>
    <n v="9"/>
    <n v="1"/>
    <n v="4.9702000000000002"/>
    <n v="66.023799999999994"/>
    <n v="0.59"/>
    <n v="1.5"/>
    <n v="1801.5"/>
    <x v="0"/>
  </r>
  <r>
    <x v="0"/>
    <x v="0"/>
    <x v="6"/>
    <s v="T12"/>
    <x v="16"/>
    <n v="4.6516000000000002"/>
    <n v="19.47"/>
    <n v="1"/>
    <n v="11.593500000000001"/>
    <n v="31.0001"/>
    <n v="0.57999999999999996"/>
    <n v="3.2450000000000001"/>
    <n v="3897.244999999999"/>
    <x v="0"/>
  </r>
  <r>
    <x v="1"/>
    <x v="0"/>
    <x v="10"/>
    <s v="CMTA07"/>
    <x v="16"/>
    <n v="4.4718999999999998"/>
    <n v="150.51"/>
    <n v="1"/>
    <n v="65.072299999999998"/>
    <n v="175.49549999999999"/>
    <n v="0.56000000000000005"/>
    <n v="16.723333333333329"/>
    <n v="20084.723333333332"/>
    <x v="0"/>
  </r>
  <r>
    <x v="0"/>
    <x v="0"/>
    <x v="6"/>
    <s v="T12"/>
    <x v="15"/>
    <n v="4.0556000000000001"/>
    <n v="16.79"/>
    <n v="1"/>
    <n v="8.0297000000000001"/>
    <n v="28"/>
    <n v="0.51"/>
    <n v="2.7983333333333329"/>
    <n v="3360.7983333333332"/>
    <x v="0"/>
  </r>
  <r>
    <x v="0"/>
    <x v="0"/>
    <x v="1"/>
    <s v="T14"/>
    <x v="15"/>
    <n v="3.5817000000000001"/>
    <n v="3.69"/>
    <n v="1"/>
    <n v="8.1013999999999999"/>
    <n v="67.561000000000007"/>
    <n v="0.45"/>
    <n v="0.61499999999999999"/>
    <n v="738.61500000000001"/>
    <x v="0"/>
  </r>
  <r>
    <x v="1"/>
    <x v="0"/>
    <x v="7"/>
    <s v="CMTA01"/>
    <x v="16"/>
    <n v="3.5524"/>
    <n v="27.22"/>
    <n v="1"/>
    <n v="2.8336000000000001"/>
    <n v="52.837600000000002"/>
    <n v="0.44"/>
    <n v="3.0244444444444438"/>
    <n v="3632.3577777777782"/>
    <x v="0"/>
  </r>
  <r>
    <x v="0"/>
    <x v="0"/>
    <x v="1"/>
    <s v="T14"/>
    <x v="16"/>
    <n v="3.3902000000000001"/>
    <n v="4.0999999999999996"/>
    <n v="1"/>
    <n v="21.561599999999999"/>
    <n v="102.1563"/>
    <n v="0.42"/>
    <n v="0.68333333333333324"/>
    <n v="820.68333333333317"/>
    <x v="0"/>
  </r>
  <r>
    <x v="0"/>
    <x v="0"/>
    <x v="8"/>
    <s v="T7"/>
    <x v="16"/>
    <n v="3.2791000000000001"/>
    <n v="13.7"/>
    <n v="1"/>
    <n v="5.1868999999999996"/>
    <n v="18.6311"/>
    <n v="0.41"/>
    <n v="2.2833333333333332"/>
    <n v="2742.2833333333328"/>
    <x v="0"/>
  </r>
  <r>
    <x v="1"/>
    <x v="0"/>
    <x v="14"/>
    <s v="CMTA08"/>
    <x v="15"/>
    <n v="3.2244000000000002"/>
    <n v="86.63"/>
    <n v="1"/>
    <n v="30.919799999999999"/>
    <n v="128.0001"/>
    <n v="0.4"/>
    <n v="9.6255555555555556"/>
    <n v="11560.292222222221"/>
    <x v="0"/>
  </r>
  <r>
    <x v="0"/>
    <x v="0"/>
    <x v="0"/>
    <s v="T4"/>
    <x v="16"/>
    <n v="3.2197"/>
    <n v="31.86"/>
    <n v="1"/>
    <n v="9.9293999999999993"/>
    <n v="31.243200000000002"/>
    <n v="0.4"/>
    <n v="5.31"/>
    <n v="6377.3099999999986"/>
    <x v="0"/>
  </r>
  <r>
    <x v="0"/>
    <x v="0"/>
    <x v="5"/>
    <s v="T10"/>
    <x v="15"/>
    <n v="2.8267000000000002"/>
    <n v="17.11"/>
    <n v="1"/>
    <n v="8.0149000000000008"/>
    <n v="26.890999999999998"/>
    <n v="0.35"/>
    <n v="2.851666666666667"/>
    <n v="3424.851666666666"/>
    <x v="0"/>
  </r>
  <r>
    <x v="0"/>
    <x v="0"/>
    <x v="9"/>
    <s v="T6"/>
    <x v="16"/>
    <n v="2.3990999999999998"/>
    <n v="5.69"/>
    <n v="1"/>
    <n v="10.162100000000001"/>
    <n v="66.542400000000001"/>
    <n v="0.3"/>
    <n v="0.94833333333333336"/>
    <n v="1138.948333333333"/>
    <x v="0"/>
  </r>
  <r>
    <x v="0"/>
    <x v="0"/>
    <x v="5"/>
    <s v="T10"/>
    <x v="16"/>
    <n v="1.9533"/>
    <n v="10.82"/>
    <n v="1"/>
    <n v="9.4289000000000005"/>
    <n v="160.7166"/>
    <n v="0.24"/>
    <n v="1.803333333333333"/>
    <n v="2165.8033333333328"/>
    <x v="0"/>
  </r>
  <r>
    <x v="0"/>
    <x v="0"/>
    <x v="0"/>
    <s v="T4"/>
    <x v="15"/>
    <n v="1.7185999999999999"/>
    <n v="4.8899999999999997"/>
    <n v="1"/>
    <n v="5.8422999999999998"/>
    <n v="73.098399999999998"/>
    <n v="0.21"/>
    <n v="0.81499999999999995"/>
    <n v="978.81499999999994"/>
    <x v="0"/>
  </r>
  <r>
    <x v="1"/>
    <x v="0"/>
    <x v="12"/>
    <s v="CMTA10"/>
    <x v="15"/>
    <n v="1.6863999999999999"/>
    <n v="27.9"/>
    <n v="1"/>
    <n v="23.505199999999999"/>
    <n v="99"/>
    <n v="0.21"/>
    <n v="3.1"/>
    <n v="3723.099999999999"/>
    <x v="0"/>
  </r>
  <r>
    <x v="1"/>
    <x v="0"/>
    <x v="14"/>
    <s v="CMTA08"/>
    <x v="16"/>
    <n v="1.4863999999999999"/>
    <n v="43.3"/>
    <n v="1"/>
    <n v="43.944600000000001"/>
    <n v="145.77090000000001"/>
    <n v="0.19"/>
    <n v="4.8111111111111109"/>
    <n v="5778.1444444444442"/>
    <x v="0"/>
  </r>
  <r>
    <x v="0"/>
    <x v="0"/>
    <x v="20"/>
    <s v="T8"/>
    <x v="15"/>
    <n v="1.3896999999999999"/>
    <n v="14.15"/>
    <n v="1"/>
    <n v="14.232799999999999"/>
    <n v="66.412700000000001"/>
    <n v="0.17"/>
    <n v="2.3583333333333329"/>
    <n v="2832.358333333334"/>
    <x v="0"/>
  </r>
  <r>
    <x v="1"/>
    <x v="0"/>
    <x v="12"/>
    <s v="CMTA10"/>
    <x v="16"/>
    <n v="1.1472"/>
    <n v="24.57"/>
    <n v="1"/>
    <n v="38.923999999999999"/>
    <n v="90"/>
    <n v="0.14000000000000001"/>
    <n v="2.73"/>
    <n v="3278.73"/>
    <x v="0"/>
  </r>
  <r>
    <x v="0"/>
    <x v="0"/>
    <x v="20"/>
    <s v="T8"/>
    <x v="16"/>
    <n v="0.36370000000000002"/>
    <n v="3.8"/>
    <n v="1"/>
    <n v="9.0920000000000005"/>
    <n v="28.8171"/>
    <n v="0.05"/>
    <n v="0.6333333333333333"/>
    <n v="760.63333333333333"/>
    <x v="0"/>
  </r>
  <r>
    <x v="0"/>
    <x v="0"/>
    <x v="21"/>
    <s v="T11"/>
    <x v="16"/>
    <n v="0.15859999999999999"/>
    <n v="0.2"/>
    <n v="0"/>
    <n v="3.3479999999999999"/>
    <n v="14.1678"/>
    <n v="0.02"/>
    <n v="3.3333333333333333E-2"/>
    <n v="40.033333333333331"/>
    <x v="0"/>
  </r>
  <r>
    <x v="1"/>
    <x v="1"/>
    <x v="19"/>
    <s v="CMTA05"/>
    <x v="15"/>
    <n v="0"/>
    <n v="25.11"/>
    <n v="1"/>
    <n v="14.661099999999999"/>
    <n v="41.651499999999999"/>
    <n v="0"/>
    <n v="2.2827272727272732"/>
    <n v="3538.227272727273"/>
    <x v="0"/>
  </r>
  <r>
    <x v="1"/>
    <x v="1"/>
    <x v="16"/>
    <s v="CMTA03"/>
    <x v="15"/>
    <n v="0"/>
    <n v="87.43"/>
    <n v="1"/>
    <n v="33.286299999999997"/>
    <n v="141.43719999999999"/>
    <n v="0"/>
    <n v="7.9481818181818191"/>
    <n v="12319.68181818182"/>
    <x v="0"/>
  </r>
  <r>
    <x v="1"/>
    <x v="0"/>
    <x v="17"/>
    <s v="CMTA02"/>
    <x v="15"/>
    <n v="0"/>
    <n v="48.47"/>
    <n v="1"/>
    <n v="22.9267"/>
    <n v="82.000100000000003"/>
    <n v="0"/>
    <n v="5.3855555555555554"/>
    <n v="6468.0522222222216"/>
    <x v="0"/>
  </r>
  <r>
    <x v="1"/>
    <x v="1"/>
    <x v="16"/>
    <s v="CMTA03"/>
    <x v="16"/>
    <n v="0"/>
    <n v="101.68"/>
    <n v="1"/>
    <n v="45.6614"/>
    <n v="113"/>
    <n v="0"/>
    <n v="9.2436363636363641"/>
    <n v="14327.63636363636"/>
    <x v="0"/>
  </r>
  <r>
    <x v="1"/>
    <x v="1"/>
    <x v="18"/>
    <s v="CMTA04"/>
    <x v="16"/>
    <n v="0"/>
    <n v="53.91"/>
    <n v="1"/>
    <n v="6.9454000000000002"/>
    <n v="97.767099999999999"/>
    <n v="0"/>
    <n v="4.9009090909090904"/>
    <n v="7596.4090909090901"/>
    <x v="0"/>
  </r>
  <r>
    <x v="1"/>
    <x v="1"/>
    <x v="18"/>
    <s v="CMTA04"/>
    <x v="15"/>
    <n v="0"/>
    <n v="64.48"/>
    <n v="1"/>
    <n v="31.067399999999999"/>
    <n v="104.4713"/>
    <n v="0"/>
    <n v="5.8618181818181823"/>
    <n v="9085.818181818182"/>
    <x v="0"/>
  </r>
  <r>
    <x v="1"/>
    <x v="1"/>
    <x v="19"/>
    <s v="CMTA05"/>
    <x v="16"/>
    <n v="0"/>
    <n v="24.44"/>
    <n v="1"/>
    <n v="19.616299999999999"/>
    <n v="45.040599999999998"/>
    <n v="0"/>
    <n v="2.2218181818181821"/>
    <n v="3443.818181818182"/>
    <x v="0"/>
  </r>
  <r>
    <x v="1"/>
    <x v="0"/>
    <x v="17"/>
    <s v="CMTA02"/>
    <x v="16"/>
    <n v="0"/>
    <n v="55.89"/>
    <n v="1"/>
    <n v="22.8203"/>
    <n v="81.358400000000003"/>
    <n v="0"/>
    <n v="6.21"/>
    <n v="7458.21"/>
    <x v="0"/>
  </r>
  <r>
    <x v="0"/>
    <x v="0"/>
    <x v="2"/>
    <s v="T13"/>
    <x v="17"/>
    <n v="6.6638999999999999"/>
    <n v="23.83"/>
    <n v="1"/>
    <n v="6.6285999999999996"/>
    <n v="66.264600000000002"/>
    <n v="0.83"/>
    <n v="3.9716666666666658"/>
    <n v="4769.9716666666664"/>
    <x v="0"/>
  </r>
  <r>
    <x v="0"/>
    <x v="0"/>
    <x v="6"/>
    <s v="T12"/>
    <x v="17"/>
    <n v="6.1561000000000003"/>
    <n v="25.55"/>
    <n v="1"/>
    <n v="7.7853000000000003"/>
    <n v="33.999899999999997"/>
    <n v="0.77"/>
    <n v="4.2583333333333337"/>
    <n v="5114.2583333333341"/>
    <x v="0"/>
  </r>
  <r>
    <x v="0"/>
    <x v="0"/>
    <x v="5"/>
    <s v="T10"/>
    <x v="17"/>
    <n v="5.6044"/>
    <n v="51.03"/>
    <n v="1"/>
    <n v="11.693"/>
    <n v="40.244"/>
    <n v="0.7"/>
    <n v="8.5050000000000008"/>
    <n v="10214.504999999999"/>
    <x v="0"/>
  </r>
  <r>
    <x v="1"/>
    <x v="0"/>
    <x v="11"/>
    <s v="CMTA11"/>
    <x v="17"/>
    <n v="5.4382999999999999"/>
    <n v="46.42"/>
    <n v="1"/>
    <n v="15.217700000000001"/>
    <n v="67.690600000000003"/>
    <n v="0.68"/>
    <n v="5.1577777777777776"/>
    <n v="6194.4911111111114"/>
    <x v="0"/>
  </r>
  <r>
    <x v="0"/>
    <x v="0"/>
    <x v="0"/>
    <s v="T4"/>
    <x v="17"/>
    <n v="4.6757999999999997"/>
    <n v="32.42"/>
    <n v="1"/>
    <n v="8.99"/>
    <n v="31.0001"/>
    <n v="0.57999999999999996"/>
    <n v="5.4033333333333333"/>
    <n v="6489.4033333333336"/>
    <x v="0"/>
  </r>
  <r>
    <x v="0"/>
    <x v="0"/>
    <x v="21"/>
    <s v="T11"/>
    <x v="17"/>
    <n v="3.9207999999999998"/>
    <n v="21.33"/>
    <n v="1"/>
    <n v="5.6416000000000004"/>
    <n v="67.431299999999993"/>
    <n v="0.49"/>
    <n v="3.5550000000000002"/>
    <n v="4269.5549999999994"/>
    <x v="0"/>
  </r>
  <r>
    <x v="1"/>
    <x v="0"/>
    <x v="10"/>
    <s v="CMTA07"/>
    <x v="17"/>
    <n v="3.8721999999999999"/>
    <n v="122.72"/>
    <n v="1"/>
    <n v="40.862299999999998"/>
    <n v="184.6814"/>
    <n v="0.48"/>
    <n v="13.635555555555561"/>
    <n v="16376.302222222221"/>
    <x v="0"/>
  </r>
  <r>
    <x v="0"/>
    <x v="0"/>
    <x v="9"/>
    <s v="T6"/>
    <x v="17"/>
    <n v="3.7233000000000001"/>
    <n v="7.34"/>
    <n v="1"/>
    <n v="4.7064000000000004"/>
    <n v="29.613499999999998"/>
    <n v="0.47"/>
    <n v="1.2233333333333329"/>
    <n v="1469.2233333333329"/>
    <x v="0"/>
  </r>
  <r>
    <x v="0"/>
    <x v="0"/>
    <x v="1"/>
    <s v="T14"/>
    <x v="17"/>
    <n v="3.72"/>
    <n v="25.03"/>
    <n v="1"/>
    <n v="16.5731"/>
    <n v="66.653499999999994"/>
    <n v="0.47"/>
    <n v="4.1716666666666669"/>
    <n v="5010.1716666666671"/>
    <x v="0"/>
  </r>
  <r>
    <x v="1"/>
    <x v="0"/>
    <x v="12"/>
    <s v="CMTA10"/>
    <x v="17"/>
    <n v="3.5567000000000002"/>
    <n v="56.42"/>
    <n v="1"/>
    <n v="21.688800000000001"/>
    <n v="107.7123"/>
    <n v="0.44"/>
    <n v="6.2688888888888892"/>
    <n v="7528.9355555555558"/>
    <x v="0"/>
  </r>
  <r>
    <x v="1"/>
    <x v="0"/>
    <x v="7"/>
    <s v="CMTA01"/>
    <x v="17"/>
    <n v="2.6528"/>
    <n v="51.81"/>
    <n v="1"/>
    <n v="24.015699999999999"/>
    <n v="104"/>
    <n v="0.33"/>
    <n v="5.7566666666666668"/>
    <n v="6913.7566666666671"/>
    <x v="0"/>
  </r>
  <r>
    <x v="0"/>
    <x v="0"/>
    <x v="8"/>
    <s v="T7"/>
    <x v="17"/>
    <n v="1.5066999999999999"/>
    <n v="4.2300000000000004"/>
    <n v="1"/>
    <n v="4.3781999999999996"/>
    <n v="16.871700000000001"/>
    <n v="0.19"/>
    <n v="0.70500000000000007"/>
    <n v="846.70500000000004"/>
    <x v="0"/>
  </r>
  <r>
    <x v="1"/>
    <x v="0"/>
    <x v="14"/>
    <s v="CMTA08"/>
    <x v="17"/>
    <n v="1.1057999999999999"/>
    <n v="12.05"/>
    <n v="1"/>
    <n v="20.9346"/>
    <n v="76"/>
    <n v="0.14000000000000001"/>
    <n v="1.338888888888889"/>
    <n v="1608.0055555555559"/>
    <x v="0"/>
  </r>
  <r>
    <x v="0"/>
    <x v="0"/>
    <x v="20"/>
    <s v="T8"/>
    <x v="17"/>
    <n v="0.6694"/>
    <n v="6.77"/>
    <n v="1"/>
    <n v="14.045"/>
    <n v="67.116500000000002"/>
    <n v="0.08"/>
    <n v="1.128333333333333"/>
    <n v="1355.1283333333331"/>
    <x v="0"/>
  </r>
  <r>
    <x v="1"/>
    <x v="1"/>
    <x v="19"/>
    <s v="CMTA05"/>
    <x v="17"/>
    <n v="0"/>
    <n v="29.19"/>
    <n v="1"/>
    <n v="14.912100000000001"/>
    <n v="36.000100000000003"/>
    <n v="0"/>
    <n v="2.6536363636363638"/>
    <n v="4113.136363636364"/>
    <x v="0"/>
  </r>
  <r>
    <x v="1"/>
    <x v="1"/>
    <x v="18"/>
    <s v="CMTA04"/>
    <x v="17"/>
    <n v="0"/>
    <n v="83.69"/>
    <n v="1"/>
    <n v="34.143799999999999"/>
    <n v="117.602"/>
    <n v="0"/>
    <n v="7.6081818181818184"/>
    <n v="11792.68181818182"/>
    <x v="0"/>
  </r>
  <r>
    <x v="1"/>
    <x v="1"/>
    <x v="16"/>
    <s v="CMTA03"/>
    <x v="17"/>
    <n v="0"/>
    <n v="9.6"/>
    <n v="1"/>
    <n v="22.188600000000001"/>
    <n v="79"/>
    <n v="0"/>
    <n v="0.87272727272727268"/>
    <n v="1352.727272727273"/>
    <x v="0"/>
  </r>
  <r>
    <x v="1"/>
    <x v="0"/>
    <x v="17"/>
    <s v="CMTA02"/>
    <x v="17"/>
    <n v="0"/>
    <n v="47.47"/>
    <n v="1"/>
    <n v="22.3551"/>
    <n v="80.000100000000003"/>
    <n v="0"/>
    <n v="5.2744444444444447"/>
    <n v="6334.6077777777782"/>
    <x v="0"/>
  </r>
  <r>
    <x v="0"/>
    <x v="0"/>
    <x v="21"/>
    <s v="T11"/>
    <x v="18"/>
    <n v="4.3127000000000004"/>
    <n v="32.35"/>
    <n v="1"/>
    <n v="4.5003000000000002"/>
    <n v="25.316800000000001"/>
    <n v="0.54"/>
    <n v="5.3916666666666666"/>
    <n v="6475.3916666666664"/>
    <x v="0"/>
  </r>
  <r>
    <x v="0"/>
    <x v="0"/>
    <x v="6"/>
    <s v="T12"/>
    <x v="18"/>
    <n v="4.1908000000000003"/>
    <n v="15.25"/>
    <n v="1"/>
    <n v="17.2163"/>
    <n v="27.28"/>
    <n v="0.52"/>
    <n v="2.541666666666667"/>
    <n v="3052.541666666667"/>
    <x v="0"/>
  </r>
  <r>
    <x v="0"/>
    <x v="0"/>
    <x v="9"/>
    <s v="T6"/>
    <x v="18"/>
    <n v="3.9144000000000001"/>
    <n v="6.61"/>
    <n v="1"/>
    <n v="0"/>
    <n v="16.1494"/>
    <n v="0.49"/>
    <n v="1.101666666666667"/>
    <n v="1323.1016666666669"/>
    <x v="0"/>
  </r>
  <r>
    <x v="0"/>
    <x v="0"/>
    <x v="0"/>
    <s v="T4"/>
    <x v="18"/>
    <n v="2.7940999999999998"/>
    <n v="19.54"/>
    <n v="1"/>
    <n v="12.500999999999999"/>
    <n v="43.781300000000002"/>
    <n v="0.35"/>
    <n v="3.2566666666666659"/>
    <n v="3911.2566666666662"/>
    <x v="0"/>
  </r>
  <r>
    <x v="0"/>
    <x v="0"/>
    <x v="2"/>
    <s v="T13"/>
    <x v="18"/>
    <n v="2.7334000000000001"/>
    <n v="13.01"/>
    <n v="1"/>
    <n v="8.7043999999999997"/>
    <n v="22.909199999999998"/>
    <n v="0.34"/>
    <n v="2.168333333333333"/>
    <n v="2604.168333333334"/>
    <x v="0"/>
  </r>
  <r>
    <x v="0"/>
    <x v="0"/>
    <x v="13"/>
    <s v="T5"/>
    <x v="18"/>
    <n v="2.6730999999999998"/>
    <n v="14.03"/>
    <n v="1"/>
    <n v="7.5941999999999998"/>
    <n v="24.0001"/>
    <n v="0.33"/>
    <n v="2.3383333333333329"/>
    <n v="2808.338333333334"/>
    <x v="0"/>
  </r>
  <r>
    <x v="0"/>
    <x v="0"/>
    <x v="5"/>
    <s v="T10"/>
    <x v="18"/>
    <n v="2.4312"/>
    <n v="7.91"/>
    <n v="1"/>
    <n v="15.030200000000001"/>
    <n v="62.745800000000003"/>
    <n v="0.3"/>
    <n v="1.3183333333333329"/>
    <n v="1583.3183333333329"/>
    <x v="0"/>
  </r>
  <r>
    <x v="1"/>
    <x v="0"/>
    <x v="11"/>
    <s v="CMTA11"/>
    <x v="18"/>
    <n v="2.2000000000000002"/>
    <n v="19.170000000000002"/>
    <n v="1"/>
    <n v="6.2842000000000002"/>
    <n v="46.5593"/>
    <n v="0.28000000000000003"/>
    <n v="2.13"/>
    <n v="2558.130000000001"/>
    <x v="0"/>
  </r>
  <r>
    <x v="1"/>
    <x v="0"/>
    <x v="10"/>
    <s v="CMTA07"/>
    <x v="18"/>
    <n v="2.0234999999999999"/>
    <n v="72.97"/>
    <n v="1"/>
    <n v="37.450499999999998"/>
    <n v="142.0001"/>
    <n v="0.25"/>
    <n v="8.1077777777777769"/>
    <n v="9737.4411111111094"/>
    <x v="0"/>
  </r>
  <r>
    <x v="1"/>
    <x v="0"/>
    <x v="7"/>
    <s v="CMTA01"/>
    <x v="18"/>
    <n v="1.8313999999999999"/>
    <n v="17.88"/>
    <n v="1"/>
    <n v="11.5205"/>
    <n v="66.486800000000002"/>
    <n v="0.23"/>
    <n v="1.986666666666667"/>
    <n v="2385.9866666666671"/>
    <x v="0"/>
  </r>
  <r>
    <x v="1"/>
    <x v="0"/>
    <x v="14"/>
    <s v="CMTA08"/>
    <x v="18"/>
    <n v="1.7231000000000001"/>
    <n v="28.98"/>
    <n v="1"/>
    <n v="37.740299999999998"/>
    <n v="89.000100000000003"/>
    <n v="0.22"/>
    <n v="3.22"/>
    <n v="3867.22"/>
    <x v="0"/>
  </r>
  <r>
    <x v="0"/>
    <x v="0"/>
    <x v="1"/>
    <s v="T14"/>
    <x v="18"/>
    <n v="1.3593999999999999"/>
    <n v="3.27"/>
    <n v="1"/>
    <n v="15.9878"/>
    <n v="67.060900000000004"/>
    <n v="0.17"/>
    <n v="0.54500000000000004"/>
    <n v="654.54500000000007"/>
    <x v="0"/>
  </r>
  <r>
    <x v="0"/>
    <x v="0"/>
    <x v="20"/>
    <s v="T8"/>
    <x v="18"/>
    <n v="0.49569999999999997"/>
    <n v="3.85"/>
    <n v="1"/>
    <n v="16.043199999999999"/>
    <n v="33.391599999999997"/>
    <n v="0.06"/>
    <n v="0.64166666666666672"/>
    <n v="770.64166666666677"/>
    <x v="0"/>
  </r>
  <r>
    <x v="1"/>
    <x v="0"/>
    <x v="12"/>
    <s v="CMTA10"/>
    <x v="18"/>
    <n v="0.27739999999999998"/>
    <n v="6.37"/>
    <n v="1"/>
    <n v="44.160299999999999"/>
    <n v="95.378"/>
    <n v="0.03"/>
    <n v="0.70777777777777784"/>
    <n v="850.04111111111115"/>
    <x v="0"/>
  </r>
  <r>
    <x v="1"/>
    <x v="0"/>
    <x v="17"/>
    <s v="CMTA02"/>
    <x v="18"/>
    <n v="0"/>
    <n v="27.75"/>
    <n v="1"/>
    <n v="20.1052"/>
    <n v="83.525199999999998"/>
    <n v="0"/>
    <n v="3.083333333333333"/>
    <n v="3703.083333333333"/>
    <x v="0"/>
  </r>
  <r>
    <x v="1"/>
    <x v="1"/>
    <x v="16"/>
    <s v="CMTA03"/>
    <x v="18"/>
    <n v="0"/>
    <n v="8.2100000000000009"/>
    <n v="1"/>
    <n v="32.304699999999997"/>
    <n v="73.000100000000003"/>
    <n v="0"/>
    <n v="0.74636363636363645"/>
    <n v="1156.863636363636"/>
    <x v="0"/>
  </r>
  <r>
    <x v="1"/>
    <x v="1"/>
    <x v="19"/>
    <s v="CMTA05"/>
    <x v="18"/>
    <n v="0"/>
    <n v="17.86"/>
    <n v="1"/>
    <n v="10.459199999999999"/>
    <n v="32.113700000000001"/>
    <n v="0"/>
    <n v="1.623636363636364"/>
    <n v="2516.636363636364"/>
    <x v="0"/>
  </r>
  <r>
    <x v="1"/>
    <x v="1"/>
    <x v="18"/>
    <s v="CMTA04"/>
    <x v="18"/>
    <n v="0"/>
    <n v="5.24"/>
    <n v="1"/>
    <n v="6.665"/>
    <n v="61.000100000000003"/>
    <n v="0"/>
    <n v="0.47636363636363638"/>
    <n v="738.36363636363637"/>
    <x v="0"/>
  </r>
  <r>
    <x v="0"/>
    <x v="0"/>
    <x v="2"/>
    <s v="T13"/>
    <x v="19"/>
    <n v="7.6380999999999997"/>
    <n v="35.93"/>
    <n v="1"/>
    <n v="6.3532000000000002"/>
    <n v="35.428800000000003"/>
    <n v="0.95"/>
    <n v="5.9883333333333333"/>
    <n v="7191.9883333333337"/>
    <x v="0"/>
  </r>
  <r>
    <x v="0"/>
    <x v="0"/>
    <x v="5"/>
    <s v="T10"/>
    <x v="19"/>
    <n v="5.5049999999999999"/>
    <n v="14.97"/>
    <n v="1"/>
    <n v="7.9714999999999998"/>
    <n v="32.484099999999998"/>
    <n v="0.69"/>
    <n v="2.4950000000000001"/>
    <n v="2996.4949999999999"/>
    <x v="0"/>
  </r>
  <r>
    <x v="1"/>
    <x v="0"/>
    <x v="10"/>
    <s v="CMTA07"/>
    <x v="19"/>
    <n v="5.0232999999999999"/>
    <n v="167.44"/>
    <n v="1"/>
    <n v="39.8264"/>
    <n v="144.45599999999999"/>
    <n v="0.63"/>
    <n v="18.604444444444439"/>
    <n v="22343.937777777781"/>
    <x v="0"/>
  </r>
  <r>
    <x v="0"/>
    <x v="0"/>
    <x v="6"/>
    <s v="T12"/>
    <x v="19"/>
    <n v="4.7942"/>
    <n v="19.79"/>
    <n v="1"/>
    <n v="8.2896999999999998"/>
    <n v="35.410200000000003"/>
    <n v="0.6"/>
    <n v="3.2983333333333329"/>
    <n v="3961.2983333333332"/>
    <x v="0"/>
  </r>
  <r>
    <x v="1"/>
    <x v="0"/>
    <x v="7"/>
    <s v="CMTA01"/>
    <x v="19"/>
    <n v="4.6185999999999998"/>
    <n v="54.59"/>
    <n v="1"/>
    <n v="23.16"/>
    <n v="99.489400000000003"/>
    <n v="0.57999999999999996"/>
    <n v="6.065555555555556"/>
    <n v="7284.7322222222228"/>
    <x v="0"/>
  </r>
  <r>
    <x v="0"/>
    <x v="0"/>
    <x v="9"/>
    <s v="T6"/>
    <x v="19"/>
    <n v="4.5772000000000004"/>
    <n v="6.41"/>
    <n v="1"/>
    <n v="4.4684999999999997"/>
    <n v="21.964700000000001"/>
    <n v="0.56999999999999995"/>
    <n v="1.0683333333333329"/>
    <n v="1283.0683333333329"/>
    <x v="0"/>
  </r>
  <r>
    <x v="1"/>
    <x v="0"/>
    <x v="11"/>
    <s v="CMTA11"/>
    <x v="19"/>
    <n v="3.9041999999999999"/>
    <n v="17.739999999999998"/>
    <n v="1"/>
    <n v="11.441800000000001"/>
    <n v="33.650799999999997"/>
    <n v="0.49"/>
    <n v="1.971111111111111"/>
    <n v="2367.304444444444"/>
    <x v="0"/>
  </r>
  <r>
    <x v="0"/>
    <x v="0"/>
    <x v="8"/>
    <s v="T7"/>
    <x v="19"/>
    <n v="3.7957999999999998"/>
    <n v="8.25"/>
    <n v="1"/>
    <n v="4.1675000000000004"/>
    <n v="22.409199999999998"/>
    <n v="0.47"/>
    <n v="1.375"/>
    <n v="1651.375"/>
    <x v="0"/>
  </r>
  <r>
    <x v="1"/>
    <x v="0"/>
    <x v="7"/>
    <s v="CMTA01"/>
    <x v="20"/>
    <n v="3.5853000000000002"/>
    <n v="7.12"/>
    <n v="1"/>
    <n v="10.3513"/>
    <n v="30.261700000000001"/>
    <n v="0.45"/>
    <n v="0.7911111111111111"/>
    <n v="950.12444444444441"/>
    <x v="1"/>
  </r>
  <r>
    <x v="0"/>
    <x v="0"/>
    <x v="2"/>
    <s v="T13"/>
    <x v="20"/>
    <n v="3.4744000000000002"/>
    <n v="15.08"/>
    <n v="1"/>
    <n v="5.9859999999999998"/>
    <n v="23.779699999999998"/>
    <n v="0.43"/>
    <n v="2.5133333333333332"/>
    <n v="3018.5133333333329"/>
    <x v="1"/>
  </r>
  <r>
    <x v="0"/>
    <x v="0"/>
    <x v="1"/>
    <s v="T14"/>
    <x v="19"/>
    <n v="2.8917000000000002"/>
    <n v="6.39"/>
    <n v="1"/>
    <n v="14.948499999999999"/>
    <n v="44.8369"/>
    <n v="0.36"/>
    <n v="1.0649999999999999"/>
    <n v="1279.0650000000001"/>
    <x v="0"/>
  </r>
  <r>
    <x v="0"/>
    <x v="0"/>
    <x v="13"/>
    <s v="T5"/>
    <x v="19"/>
    <n v="2.8908"/>
    <n v="14.7"/>
    <n v="1"/>
    <n v="7.6734999999999998"/>
    <n v="28.909700000000001"/>
    <n v="0.36"/>
    <n v="2.4500000000000002"/>
    <n v="2942.45"/>
    <x v="0"/>
  </r>
  <r>
    <x v="1"/>
    <x v="0"/>
    <x v="14"/>
    <s v="CMTA08"/>
    <x v="19"/>
    <n v="1.9125000000000001"/>
    <n v="34.03"/>
    <n v="1"/>
    <n v="24.142499999999998"/>
    <n v="94.000100000000003"/>
    <n v="0.24"/>
    <n v="3.7811111111111111"/>
    <n v="4541.1144444444444"/>
    <x v="0"/>
  </r>
  <r>
    <x v="1"/>
    <x v="0"/>
    <x v="10"/>
    <s v="CMTA07"/>
    <x v="21"/>
    <n v="0.99109999999999998"/>
    <n v="56.01"/>
    <n v="1"/>
    <n v="64.628900000000002"/>
    <n v="188.941"/>
    <n v="0.12"/>
    <n v="6.2233333333333327"/>
    <n v="7474.2233333333324"/>
    <x v="1"/>
  </r>
  <r>
    <x v="0"/>
    <x v="0"/>
    <x v="20"/>
    <s v="T8"/>
    <x v="19"/>
    <n v="0.69279999999999997"/>
    <n v="8.0500000000000007"/>
    <n v="1"/>
    <n v="14.0952"/>
    <n v="33.261899999999997"/>
    <n v="0.09"/>
    <n v="1.341666666666667"/>
    <n v="1611.3416666666669"/>
    <x v="0"/>
  </r>
  <r>
    <x v="1"/>
    <x v="0"/>
    <x v="7"/>
    <s v="CMTA01"/>
    <x v="21"/>
    <n v="0.61860000000000004"/>
    <n v="14.95"/>
    <n v="1"/>
    <n v="26.081"/>
    <n v="63.597700000000003"/>
    <n v="0.08"/>
    <n v="1.661111111111111"/>
    <n v="1994.9944444444441"/>
    <x v="1"/>
  </r>
  <r>
    <x v="1"/>
    <x v="0"/>
    <x v="12"/>
    <s v="CMTA10"/>
    <x v="19"/>
    <n v="0.45469999999999999"/>
    <n v="10"/>
    <n v="1"/>
    <n v="24.925999999999998"/>
    <n v="85.895799999999994"/>
    <n v="0.06"/>
    <n v="1.1111111111111109"/>
    <n v="1334.444444444445"/>
    <x v="0"/>
  </r>
  <r>
    <x v="1"/>
    <x v="0"/>
    <x v="14"/>
    <s v="CMTA08"/>
    <x v="20"/>
    <n v="0.19889999999999999"/>
    <n v="5.49"/>
    <n v="1"/>
    <n v="30.852900000000002"/>
    <n v="98.322699999999998"/>
    <n v="0.02"/>
    <n v="0.61"/>
    <n v="732.61"/>
    <x v="1"/>
  </r>
  <r>
    <x v="0"/>
    <x v="0"/>
    <x v="2"/>
    <s v="T13"/>
    <x v="21"/>
    <n v="1.89E-2"/>
    <n v="0.04"/>
    <n v="0"/>
    <n v="2.3449"/>
    <n v="7.9451000000000001"/>
    <n v="0"/>
    <n v="6.6666666666666671E-3"/>
    <n v="8.0066666666666677"/>
    <x v="1"/>
  </r>
  <r>
    <x v="1"/>
    <x v="1"/>
    <x v="16"/>
    <s v="CMTA03"/>
    <x v="21"/>
    <n v="0"/>
    <n v="24.3"/>
    <n v="1"/>
    <n v="30.3033"/>
    <n v="96.822599999999994"/>
    <n v="0"/>
    <n v="2.209090909090909"/>
    <n v="3424.090909090909"/>
    <x v="1"/>
  </r>
  <r>
    <x v="1"/>
    <x v="1"/>
    <x v="19"/>
    <s v="CMTA05"/>
    <x v="19"/>
    <n v="0"/>
    <n v="37.78"/>
    <n v="1"/>
    <n v="20.0075"/>
    <n v="117.12050000000001"/>
    <n v="0"/>
    <n v="3.434545454545455"/>
    <n v="5323.545454545455"/>
    <x v="0"/>
  </r>
  <r>
    <x v="1"/>
    <x v="0"/>
    <x v="17"/>
    <s v="CMTA02"/>
    <x v="20"/>
    <n v="0"/>
    <n v="3.16"/>
    <n v="1"/>
    <n v="21.963100000000001"/>
    <n v="40.000100000000003"/>
    <n v="0"/>
    <n v="0.35111111111111121"/>
    <n v="421.68444444444452"/>
    <x v="1"/>
  </r>
  <r>
    <x v="1"/>
    <x v="1"/>
    <x v="18"/>
    <s v="CMTA04"/>
    <x v="19"/>
    <n v="0"/>
    <n v="82.03"/>
    <n v="1"/>
    <n v="31.515000000000001"/>
    <n v="104"/>
    <n v="0"/>
    <n v="7.4572727272727271"/>
    <n v="11558.77272727273"/>
    <x v="0"/>
  </r>
  <r>
    <x v="1"/>
    <x v="1"/>
    <x v="16"/>
    <s v="CMTA03"/>
    <x v="20"/>
    <n v="0"/>
    <n v="52.8"/>
    <n v="1"/>
    <n v="33.818399999999997"/>
    <n v="86.192099999999996"/>
    <n v="0"/>
    <n v="4.8"/>
    <n v="7440"/>
    <x v="1"/>
  </r>
  <r>
    <x v="1"/>
    <x v="1"/>
    <x v="18"/>
    <s v="CMTA04"/>
    <x v="21"/>
    <n v="0"/>
    <n v="0.43"/>
    <n v="0"/>
    <n v="7.9911000000000003"/>
    <n v="25"/>
    <n v="0"/>
    <n v="3.9090909090909093E-2"/>
    <n v="60.590909090909093"/>
    <x v="1"/>
  </r>
  <r>
    <x v="1"/>
    <x v="0"/>
    <x v="17"/>
    <s v="CMTA02"/>
    <x v="19"/>
    <n v="0"/>
    <n v="35.51"/>
    <n v="1"/>
    <n v="24.224699999999999"/>
    <n v="106.7122"/>
    <n v="0"/>
    <n v="3.945555555555555"/>
    <n v="4738.612222222222"/>
    <x v="0"/>
  </r>
  <r>
    <x v="1"/>
    <x v="1"/>
    <x v="18"/>
    <s v="CMTA04"/>
    <x v="20"/>
    <n v="0"/>
    <n v="0.09"/>
    <n v="0"/>
    <n v="7.2903000000000002"/>
    <n v="47.207500000000003"/>
    <n v="0"/>
    <n v="8.1818181818181807E-3"/>
    <n v="12.68181818181818"/>
    <x v="1"/>
  </r>
  <r>
    <x v="0"/>
    <x v="0"/>
    <x v="8"/>
    <s v="T7"/>
    <x v="20"/>
    <n v="0"/>
    <n v="0.01"/>
    <n v="0"/>
    <n v="15.5753"/>
    <n v="15.5753"/>
    <n v="0"/>
    <n v="1.666666666666667E-3"/>
    <n v="2.0016666666666669"/>
    <x v="1"/>
  </r>
  <r>
    <x v="1"/>
    <x v="0"/>
    <x v="17"/>
    <s v="CMTA02"/>
    <x v="21"/>
    <n v="0"/>
    <n v="3.28"/>
    <n v="1"/>
    <n v="20.4299"/>
    <n v="42"/>
    <n v="0"/>
    <n v="0.3644444444444444"/>
    <n v="437.69777777777767"/>
    <x v="1"/>
  </r>
  <r>
    <x v="1"/>
    <x v="1"/>
    <x v="16"/>
    <s v="CMTA03"/>
    <x v="19"/>
    <n v="0"/>
    <n v="67.91"/>
    <n v="1"/>
    <n v="34.1952"/>
    <n v="114.0001"/>
    <n v="0"/>
    <n v="6.1736363636363629"/>
    <n v="9569.1363636363621"/>
    <x v="0"/>
  </r>
  <r>
    <x v="1"/>
    <x v="0"/>
    <x v="11"/>
    <s v="CMTA11"/>
    <x v="22"/>
    <n v="7.4214000000000002"/>
    <n v="131.38"/>
    <n v="1"/>
    <n v="61.877800000000001"/>
    <n v="165.62440000000001"/>
    <n v="0.93"/>
    <n v="14.597777777777781"/>
    <n v="17531.931111111109"/>
    <x v="0"/>
  </r>
  <r>
    <x v="1"/>
    <x v="0"/>
    <x v="10"/>
    <s v="CMTA07"/>
    <x v="22"/>
    <n v="3.6644000000000001"/>
    <n v="102.11"/>
    <n v="1"/>
    <n v="36.235599999999998"/>
    <n v="191.55240000000001"/>
    <n v="0.46"/>
    <n v="11.34555555555556"/>
    <n v="13626.01222222222"/>
    <x v="0"/>
  </r>
  <r>
    <x v="1"/>
    <x v="0"/>
    <x v="12"/>
    <s v="CMTA10"/>
    <x v="22"/>
    <n v="2.0571999999999999"/>
    <n v="22.57"/>
    <n v="1"/>
    <n v="17.132200000000001"/>
    <n v="63"/>
    <n v="0.26"/>
    <n v="2.5077777777777781"/>
    <n v="3011.8411111111109"/>
    <x v="0"/>
  </r>
  <r>
    <x v="0"/>
    <x v="0"/>
    <x v="13"/>
    <s v="T5"/>
    <x v="22"/>
    <n v="1.3119000000000001"/>
    <n v="4.6500000000000004"/>
    <n v="1"/>
    <n v="7.7022000000000004"/>
    <n v="22.909199999999998"/>
    <n v="0.16"/>
    <n v="0.77500000000000002"/>
    <n v="930.77499999999998"/>
    <x v="0"/>
  </r>
  <r>
    <x v="1"/>
    <x v="0"/>
    <x v="14"/>
    <s v="CMTA08"/>
    <x v="22"/>
    <n v="1.2081"/>
    <n v="28.28"/>
    <n v="1"/>
    <n v="28.634499999999999"/>
    <n v="127.69540000000001"/>
    <n v="0.15"/>
    <n v="3.1422222222222218"/>
    <n v="3773.8088888888892"/>
    <x v="0"/>
  </r>
  <r>
    <x v="1"/>
    <x v="0"/>
    <x v="7"/>
    <s v="CMTA01"/>
    <x v="22"/>
    <n v="0.93559999999999999"/>
    <n v="38.65"/>
    <n v="1"/>
    <n v="40.629199999999997"/>
    <n v="101.0001"/>
    <n v="0.12"/>
    <n v="4.2944444444444443"/>
    <n v="5157.6277777777777"/>
    <x v="0"/>
  </r>
  <r>
    <x v="0"/>
    <x v="0"/>
    <x v="0"/>
    <s v="T4"/>
    <x v="22"/>
    <n v="1.1000000000000001E-3"/>
    <n v="0.02"/>
    <n v="0"/>
    <n v="17.0199"/>
    <n v="17.0199"/>
    <n v="0"/>
    <n v="3.333333333333334E-3"/>
    <n v="4.0033333333333339"/>
    <x v="0"/>
  </r>
  <r>
    <x v="1"/>
    <x v="1"/>
    <x v="19"/>
    <s v="CMTA05"/>
    <x v="22"/>
    <n v="0"/>
    <n v="3.35"/>
    <n v="1"/>
    <n v="9.1601999999999997"/>
    <n v="29.094899999999999"/>
    <n v="0"/>
    <n v="0.30454545454545462"/>
    <n v="472.04545454545462"/>
    <x v="0"/>
  </r>
  <r>
    <x v="1"/>
    <x v="1"/>
    <x v="16"/>
    <s v="CMTA03"/>
    <x v="22"/>
    <n v="0"/>
    <n v="40.270000000000003"/>
    <n v="1"/>
    <n v="30.973299999999998"/>
    <n v="102.9897"/>
    <n v="0"/>
    <n v="3.6609090909090911"/>
    <n v="5674.409090909091"/>
    <x v="0"/>
  </r>
  <r>
    <x v="1"/>
    <x v="0"/>
    <x v="17"/>
    <s v="CMTA02"/>
    <x v="22"/>
    <n v="0"/>
    <n v="27.18"/>
    <n v="1"/>
    <n v="25.060500000000001"/>
    <n v="82.000100000000003"/>
    <n v="0"/>
    <n v="3.02"/>
    <n v="3627.02"/>
    <x v="0"/>
  </r>
  <r>
    <x v="1"/>
    <x v="1"/>
    <x v="18"/>
    <s v="CMTA04"/>
    <x v="22"/>
    <n v="0"/>
    <n v="51.71"/>
    <n v="1"/>
    <n v="31.105799999999999"/>
    <n v="104.2306"/>
    <n v="0"/>
    <n v="4.7009090909090911"/>
    <n v="7286.409090909091"/>
    <x v="0"/>
  </r>
  <r>
    <x v="0"/>
    <x v="0"/>
    <x v="8"/>
    <s v="T7"/>
    <x v="23"/>
    <n v="7.6489000000000003"/>
    <n v="19.36"/>
    <n v="1"/>
    <n v="6.1079999999999997"/>
    <n v="27.9467"/>
    <n v="0.96"/>
    <n v="3.226666666666667"/>
    <n v="3875.226666666666"/>
    <x v="0"/>
  </r>
  <r>
    <x v="0"/>
    <x v="0"/>
    <x v="1"/>
    <s v="T14"/>
    <x v="23"/>
    <n v="7.2567000000000004"/>
    <n v="26.56"/>
    <n v="1"/>
    <n v="6.1010999999999997"/>
    <n v="57.2453"/>
    <n v="0.91"/>
    <n v="4.4266666666666667"/>
    <n v="5316.4266666666672"/>
    <x v="0"/>
  </r>
  <r>
    <x v="0"/>
    <x v="0"/>
    <x v="2"/>
    <s v="T13"/>
    <x v="23"/>
    <n v="7.2382999999999997"/>
    <n v="22.69"/>
    <n v="1"/>
    <n v="6.4132999999999996"/>
    <n v="22.668500000000002"/>
    <n v="0.9"/>
    <n v="3.7816666666666672"/>
    <n v="4541.7816666666668"/>
    <x v="0"/>
  </r>
  <r>
    <x v="0"/>
    <x v="0"/>
    <x v="13"/>
    <s v="T5"/>
    <x v="23"/>
    <n v="6.7774999999999999"/>
    <n v="23.36"/>
    <n v="1"/>
    <n v="5.6154999999999999"/>
    <n v="28.372599999999998"/>
    <n v="0.85"/>
    <n v="3.8933333333333331"/>
    <n v="4675.8933333333334"/>
    <x v="0"/>
  </r>
  <r>
    <x v="1"/>
    <x v="0"/>
    <x v="10"/>
    <s v="CMTA07"/>
    <x v="23"/>
    <n v="4.2146999999999997"/>
    <n v="157.08000000000001"/>
    <n v="1"/>
    <n v="40.223799999999997"/>
    <n v="172.0138"/>
    <n v="0.53"/>
    <n v="17.45333333333333"/>
    <n v="20961.453333333331"/>
    <x v="0"/>
  </r>
  <r>
    <x v="1"/>
    <x v="0"/>
    <x v="11"/>
    <s v="CMTA11"/>
    <x v="23"/>
    <n v="3.4897"/>
    <n v="26.32"/>
    <n v="1"/>
    <n v="13.7334"/>
    <n v="40.000100000000003"/>
    <n v="0.44"/>
    <n v="2.9244444444444451"/>
    <n v="3512.2577777777778"/>
    <x v="0"/>
  </r>
  <r>
    <x v="0"/>
    <x v="0"/>
    <x v="21"/>
    <s v="T11"/>
    <x v="23"/>
    <n v="2.94"/>
    <n v="9.51"/>
    <n v="1"/>
    <n v="4.8129"/>
    <n v="26.817"/>
    <n v="0.37"/>
    <n v="1.585"/>
    <n v="1903.585"/>
    <x v="0"/>
  </r>
  <r>
    <x v="0"/>
    <x v="0"/>
    <x v="20"/>
    <s v="T8"/>
    <x v="23"/>
    <n v="2.7132999999999998"/>
    <n v="15.61"/>
    <n v="1"/>
    <n v="9.1334999999999997"/>
    <n v="66.949799999999996"/>
    <n v="0.34"/>
    <n v="2.601666666666667"/>
    <n v="3124.601666666666"/>
    <x v="0"/>
  </r>
  <r>
    <x v="1"/>
    <x v="0"/>
    <x v="12"/>
    <s v="CMTA10"/>
    <x v="23"/>
    <n v="2.6657999999999999"/>
    <n v="36.770000000000003"/>
    <n v="1"/>
    <n v="17.740600000000001"/>
    <n v="81.673199999999994"/>
    <n v="0.33"/>
    <n v="4.0855555555555556"/>
    <n v="4906.7522222222224"/>
    <x v="0"/>
  </r>
  <r>
    <x v="1"/>
    <x v="0"/>
    <x v="7"/>
    <s v="CMTA01"/>
    <x v="23"/>
    <n v="2.1444000000000001"/>
    <n v="6.13"/>
    <n v="1"/>
    <n v="9.02"/>
    <n v="63.2273"/>
    <n v="0.27"/>
    <n v="0.68111111111111111"/>
    <n v="818.01444444444439"/>
    <x v="0"/>
  </r>
  <r>
    <x v="1"/>
    <x v="0"/>
    <x v="14"/>
    <s v="CMTA08"/>
    <x v="23"/>
    <n v="1.9524999999999999"/>
    <n v="57"/>
    <n v="1"/>
    <n v="33.304400000000001"/>
    <n v="118"/>
    <n v="0.24"/>
    <n v="6.333333333333333"/>
    <n v="7606.333333333333"/>
    <x v="0"/>
  </r>
  <r>
    <x v="1"/>
    <x v="1"/>
    <x v="18"/>
    <s v="CMTA04"/>
    <x v="23"/>
    <n v="0"/>
    <n v="19.649999999999999"/>
    <n v="1"/>
    <n v="23.045500000000001"/>
    <n v="81.636200000000002"/>
    <n v="0"/>
    <n v="1.7863636363636359"/>
    <n v="2768.863636363636"/>
    <x v="0"/>
  </r>
  <r>
    <x v="1"/>
    <x v="1"/>
    <x v="16"/>
    <s v="CMTA03"/>
    <x v="23"/>
    <n v="0"/>
    <n v="14.75"/>
    <n v="1"/>
    <n v="32.551000000000002"/>
    <n v="79.710099999999997"/>
    <n v="0"/>
    <n v="1.3409090909090911"/>
    <n v="2078.409090909091"/>
    <x v="0"/>
  </r>
  <r>
    <x v="1"/>
    <x v="1"/>
    <x v="19"/>
    <s v="CMTA05"/>
    <x v="23"/>
    <n v="0"/>
    <n v="28.26"/>
    <n v="1"/>
    <n v="10.4335"/>
    <n v="49.189100000000003"/>
    <n v="0"/>
    <n v="2.5690909090909089"/>
    <n v="3982.090909090909"/>
    <x v="0"/>
  </r>
  <r>
    <x v="1"/>
    <x v="0"/>
    <x v="17"/>
    <s v="CMTA02"/>
    <x v="23"/>
    <n v="0"/>
    <n v="47.56"/>
    <n v="1"/>
    <n v="20.4434"/>
    <n v="91.000100000000003"/>
    <n v="0"/>
    <n v="5.2844444444444436"/>
    <n v="6346.6177777777784"/>
    <x v="0"/>
  </r>
  <r>
    <x v="0"/>
    <x v="0"/>
    <x v="21"/>
    <s v="T11"/>
    <x v="24"/>
    <n v="7.4832999999999998"/>
    <n v="38.159999999999997"/>
    <n v="1"/>
    <n v="7.3360000000000003"/>
    <n v="24.372299999999999"/>
    <n v="0.94"/>
    <n v="6.3599999999999994"/>
    <n v="7638.36"/>
    <x v="0"/>
  </r>
  <r>
    <x v="0"/>
    <x v="0"/>
    <x v="2"/>
    <s v="T13"/>
    <x v="24"/>
    <n v="7.2671999999999999"/>
    <n v="29.78"/>
    <n v="1"/>
    <n v="5.7202999999999999"/>
    <n v="22.724"/>
    <n v="0.91"/>
    <n v="4.9633333333333338"/>
    <n v="5960.963333333334"/>
    <x v="0"/>
  </r>
  <r>
    <x v="0"/>
    <x v="0"/>
    <x v="5"/>
    <s v="T10"/>
    <x v="24"/>
    <n v="7.0506000000000002"/>
    <n v="19.100000000000001"/>
    <n v="1"/>
    <n v="7.5621"/>
    <n v="44.188699999999997"/>
    <n v="0.88"/>
    <n v="3.183333333333334"/>
    <n v="3823.1833333333329"/>
    <x v="0"/>
  </r>
  <r>
    <x v="0"/>
    <x v="0"/>
    <x v="6"/>
    <s v="T12"/>
    <x v="24"/>
    <n v="5.3038999999999996"/>
    <n v="20.18"/>
    <n v="1"/>
    <n v="7.2698999999999998"/>
    <n v="33"/>
    <n v="0.66"/>
    <n v="3.3633333333333328"/>
    <n v="4039.3633333333328"/>
    <x v="0"/>
  </r>
  <r>
    <x v="1"/>
    <x v="0"/>
    <x v="14"/>
    <s v="CMTA08"/>
    <x v="24"/>
    <n v="5.2278000000000002"/>
    <n v="106.94"/>
    <n v="1"/>
    <n v="32.324199999999998"/>
    <n v="120.0466"/>
    <n v="0.65"/>
    <n v="11.88222222222222"/>
    <n v="14270.54888888889"/>
    <x v="0"/>
  </r>
  <r>
    <x v="1"/>
    <x v="0"/>
    <x v="10"/>
    <s v="CMTA07"/>
    <x v="24"/>
    <n v="5.1139000000000001"/>
    <n v="140.26"/>
    <n v="1"/>
    <n v="32.018700000000003"/>
    <n v="168.9024"/>
    <n v="0.64"/>
    <n v="15.58444444444444"/>
    <n v="18716.91777777778"/>
    <x v="0"/>
  </r>
  <r>
    <x v="1"/>
    <x v="0"/>
    <x v="7"/>
    <s v="CMTA01"/>
    <x v="24"/>
    <n v="4.8907999999999996"/>
    <n v="44.02"/>
    <n v="1"/>
    <n v="20.4785"/>
    <n v="106"/>
    <n v="0.61"/>
    <n v="4.8911111111111119"/>
    <n v="5874.224444444445"/>
    <x v="0"/>
  </r>
  <r>
    <x v="0"/>
    <x v="0"/>
    <x v="1"/>
    <s v="T14"/>
    <x v="24"/>
    <n v="4.1407999999999996"/>
    <n v="7.84"/>
    <n v="1"/>
    <n v="12.120699999999999"/>
    <n v="66.431200000000004"/>
    <n v="0.52"/>
    <n v="1.3066666666666671"/>
    <n v="1569.3066666666671"/>
    <x v="0"/>
  </r>
  <r>
    <x v="1"/>
    <x v="0"/>
    <x v="11"/>
    <s v="CMTA11"/>
    <x v="24"/>
    <n v="3.8872"/>
    <n v="41.19"/>
    <n v="1"/>
    <n v="18.731200000000001"/>
    <n v="70"/>
    <n v="0.49"/>
    <n v="4.5766666666666662"/>
    <n v="5496.5766666666659"/>
    <x v="0"/>
  </r>
  <r>
    <x v="0"/>
    <x v="0"/>
    <x v="20"/>
    <s v="T8"/>
    <x v="24"/>
    <n v="3.5863999999999998"/>
    <n v="21.17"/>
    <n v="1"/>
    <n v="8.4972999999999992"/>
    <n v="36.336199999999998"/>
    <n v="0.45"/>
    <n v="3.5283333333333342"/>
    <n v="4237.5283333333336"/>
    <x v="0"/>
  </r>
  <r>
    <x v="0"/>
    <x v="0"/>
    <x v="13"/>
    <s v="T5"/>
    <x v="24"/>
    <n v="2.6917"/>
    <n v="11.32"/>
    <n v="1"/>
    <n v="7.4802"/>
    <n v="30.706199999999999"/>
    <n v="0.34"/>
    <n v="1.8866666666666669"/>
    <n v="2265.8866666666672"/>
    <x v="0"/>
  </r>
  <r>
    <x v="1"/>
    <x v="0"/>
    <x v="12"/>
    <s v="CMTA10"/>
    <x v="24"/>
    <n v="2.5057999999999998"/>
    <n v="37.049999999999997"/>
    <n v="1"/>
    <n v="19.322700000000001"/>
    <n v="70.999899999999997"/>
    <n v="0.31"/>
    <n v="4.1166666666666663"/>
    <n v="4944.1166666666659"/>
    <x v="0"/>
  </r>
  <r>
    <x v="0"/>
    <x v="0"/>
    <x v="9"/>
    <s v="T6"/>
    <x v="24"/>
    <n v="0.2233"/>
    <n v="1.18"/>
    <n v="1"/>
    <n v="5.6642000000000001"/>
    <n v="21.5943"/>
    <n v="0.03"/>
    <n v="0.19666666666666671"/>
    <n v="236.19666666666669"/>
    <x v="0"/>
  </r>
  <r>
    <x v="0"/>
    <x v="0"/>
    <x v="0"/>
    <s v="T4"/>
    <x v="24"/>
    <n v="0.2225"/>
    <n v="0.02"/>
    <n v="0"/>
    <n v="2.4018000000000002"/>
    <n v="11.148999999999999"/>
    <n v="0.03"/>
    <n v="3.333333333333334E-3"/>
    <n v="4.0033333333333339"/>
    <x v="0"/>
  </r>
  <r>
    <x v="1"/>
    <x v="1"/>
    <x v="16"/>
    <s v="CMTA03"/>
    <x v="24"/>
    <n v="0"/>
    <n v="24.87"/>
    <n v="1"/>
    <n v="33.312600000000003"/>
    <n v="78.617400000000004"/>
    <n v="0"/>
    <n v="2.2609090909090912"/>
    <n v="3504.409090909091"/>
    <x v="0"/>
  </r>
  <r>
    <x v="1"/>
    <x v="0"/>
    <x v="17"/>
    <s v="CMTA02"/>
    <x v="24"/>
    <n v="0"/>
    <n v="63.09"/>
    <n v="1"/>
    <n v="24.5822"/>
    <n v="90"/>
    <n v="0"/>
    <n v="7.0100000000000007"/>
    <n v="8419.01"/>
    <x v="0"/>
  </r>
  <r>
    <x v="1"/>
    <x v="1"/>
    <x v="18"/>
    <s v="CMTA04"/>
    <x v="24"/>
    <n v="0"/>
    <n v="48.45"/>
    <n v="1"/>
    <n v="24.231300000000001"/>
    <n v="78.784099999999995"/>
    <n v="0"/>
    <n v="4.4045454545454552"/>
    <n v="6827.0454545454559"/>
    <x v="0"/>
  </r>
  <r>
    <x v="0"/>
    <x v="0"/>
    <x v="8"/>
    <s v="T7"/>
    <x v="24"/>
    <n v="0"/>
    <n v="0.01"/>
    <n v="0"/>
    <n v="14.871600000000001"/>
    <n v="14.871600000000001"/>
    <n v="0"/>
    <n v="1.666666666666667E-3"/>
    <n v="2.0016666666666669"/>
    <x v="0"/>
  </r>
  <r>
    <x v="1"/>
    <x v="1"/>
    <x v="19"/>
    <s v="CMTA05"/>
    <x v="24"/>
    <n v="0"/>
    <n v="27.6"/>
    <n v="1"/>
    <n v="11.809100000000001"/>
    <n v="70.024100000000004"/>
    <n v="0"/>
    <n v="2.5090909090909088"/>
    <n v="3889.090909090909"/>
    <x v="0"/>
  </r>
  <r>
    <x v="0"/>
    <x v="0"/>
    <x v="21"/>
    <s v="T11"/>
    <x v="25"/>
    <n v="17.016100000000002"/>
    <n v="29.69"/>
    <n v="1"/>
    <n v="6.0768000000000004"/>
    <n v="24.927900000000001"/>
    <n v="2.13"/>
    <n v="4.9483333333333333"/>
    <n v="5942.9483333333328"/>
    <x v="0"/>
  </r>
  <r>
    <x v="0"/>
    <x v="0"/>
    <x v="21"/>
    <s v="T11"/>
    <x v="26"/>
    <n v="10.517200000000001"/>
    <n v="19.32"/>
    <n v="1"/>
    <n v="5.8235000000000001"/>
    <n v="34.1509"/>
    <n v="1.31"/>
    <n v="3.22"/>
    <n v="3867.22"/>
    <x v="0"/>
  </r>
  <r>
    <x v="0"/>
    <x v="0"/>
    <x v="2"/>
    <s v="T13"/>
    <x v="26"/>
    <n v="9.0767000000000007"/>
    <n v="74.19"/>
    <n v="1"/>
    <n v="9.7530000000000001"/>
    <n v="53.133899999999997"/>
    <n v="1.1299999999999999"/>
    <n v="12.365"/>
    <n v="14850.365"/>
    <x v="0"/>
  </r>
  <r>
    <x v="0"/>
    <x v="0"/>
    <x v="8"/>
    <s v="T7"/>
    <x v="26"/>
    <n v="8.4581"/>
    <n v="14.27"/>
    <n v="1"/>
    <n v="5.0875000000000004"/>
    <n v="28.6875"/>
    <n v="1.06"/>
    <n v="2.378333333333333"/>
    <n v="2856.378333333334"/>
    <x v="0"/>
  </r>
  <r>
    <x v="0"/>
    <x v="0"/>
    <x v="6"/>
    <s v="T12"/>
    <x v="25"/>
    <n v="7.9747000000000003"/>
    <n v="40.44"/>
    <n v="1"/>
    <n v="8.1007999999999996"/>
    <n v="41.892200000000003"/>
    <n v="1"/>
    <n v="6.7399999999999993"/>
    <n v="8094.7399999999989"/>
    <x v="0"/>
  </r>
  <r>
    <x v="0"/>
    <x v="0"/>
    <x v="5"/>
    <s v="T10"/>
    <x v="25"/>
    <n v="7.4752999999999998"/>
    <n v="23.57"/>
    <n v="1"/>
    <n v="7.0068999999999999"/>
    <n v="70.190799999999996"/>
    <n v="0.93"/>
    <n v="3.9283333333333328"/>
    <n v="4717.9283333333333"/>
    <x v="0"/>
  </r>
  <r>
    <x v="0"/>
    <x v="0"/>
    <x v="1"/>
    <s v="T14"/>
    <x v="26"/>
    <n v="7.2050000000000001"/>
    <n v="29.62"/>
    <n v="1"/>
    <n v="5.9859"/>
    <n v="29.0001"/>
    <n v="0.9"/>
    <n v="4.9366666666666674"/>
    <n v="5928.9366666666656"/>
    <x v="0"/>
  </r>
  <r>
    <x v="0"/>
    <x v="0"/>
    <x v="5"/>
    <s v="T10"/>
    <x v="26"/>
    <n v="6.4341999999999997"/>
    <n v="26.85"/>
    <n v="1"/>
    <n v="8.9270999999999994"/>
    <n v="43.151600000000002"/>
    <n v="0.8"/>
    <n v="4.4750000000000014"/>
    <n v="5374.4750000000004"/>
    <x v="0"/>
  </r>
  <r>
    <x v="0"/>
    <x v="0"/>
    <x v="2"/>
    <s v="T13"/>
    <x v="25"/>
    <n v="6.42"/>
    <n v="29.03"/>
    <n v="1"/>
    <n v="5.6524999999999999"/>
    <n v="27.224399999999999"/>
    <n v="0.8"/>
    <n v="4.8383333333333338"/>
    <n v="5810.838333333334"/>
    <x v="0"/>
  </r>
  <r>
    <x v="0"/>
    <x v="0"/>
    <x v="9"/>
    <s v="T6"/>
    <x v="26"/>
    <n v="5.7149999999999999"/>
    <n v="40.549999999999997"/>
    <n v="1"/>
    <n v="10.567600000000001"/>
    <n v="37.04"/>
    <n v="0.71"/>
    <n v="6.7583333333333329"/>
    <n v="8116.7583333333332"/>
    <x v="0"/>
  </r>
  <r>
    <x v="1"/>
    <x v="0"/>
    <x v="7"/>
    <s v="CMTA01"/>
    <x v="26"/>
    <n v="5.4283000000000001"/>
    <n v="34.89"/>
    <n v="1"/>
    <n v="15.307499999999999"/>
    <n v="148.69710000000001"/>
    <n v="0.68"/>
    <n v="3.8766666666666669"/>
    <n v="4655.876666666667"/>
    <x v="0"/>
  </r>
  <r>
    <x v="0"/>
    <x v="0"/>
    <x v="20"/>
    <s v="T8"/>
    <x v="26"/>
    <n v="4.6257999999999999"/>
    <n v="17.97"/>
    <n v="1"/>
    <n v="6.5103999999999997"/>
    <n v="34.373100000000001"/>
    <n v="0.57999999999999996"/>
    <n v="2.9950000000000001"/>
    <n v="3596.994999999999"/>
    <x v="0"/>
  </r>
  <r>
    <x v="1"/>
    <x v="0"/>
    <x v="10"/>
    <s v="CMTA07"/>
    <x v="25"/>
    <n v="4.5647000000000002"/>
    <n v="157.25"/>
    <n v="1"/>
    <n v="38.806699999999999"/>
    <n v="188.25579999999999"/>
    <n v="0.56999999999999995"/>
    <n v="17.472222222222221"/>
    <n v="20984.138888888891"/>
    <x v="0"/>
  </r>
  <r>
    <x v="0"/>
    <x v="0"/>
    <x v="1"/>
    <s v="T14"/>
    <x v="25"/>
    <n v="4.5430999999999999"/>
    <n v="8.86"/>
    <n v="1"/>
    <n v="13.367599999999999"/>
    <n v="67.005399999999995"/>
    <n v="0.56999999999999995"/>
    <n v="1.476666666666667"/>
    <n v="1773.476666666666"/>
    <x v="0"/>
  </r>
  <r>
    <x v="0"/>
    <x v="0"/>
    <x v="20"/>
    <s v="T8"/>
    <x v="25"/>
    <n v="4.3841999999999999"/>
    <n v="22.58"/>
    <n v="1"/>
    <n v="7.2325999999999997"/>
    <n v="33.298999999999999"/>
    <n v="0.55000000000000004"/>
    <n v="3.7633333333333332"/>
    <n v="4519.7633333333333"/>
    <x v="0"/>
  </r>
  <r>
    <x v="1"/>
    <x v="0"/>
    <x v="7"/>
    <s v="CMTA01"/>
    <x v="25"/>
    <n v="4.3219000000000003"/>
    <n v="29.09"/>
    <n v="1"/>
    <n v="14.722799999999999"/>
    <n v="68.357299999999995"/>
    <n v="0.54"/>
    <n v="3.2322222222222221"/>
    <n v="3881.8988888888889"/>
    <x v="0"/>
  </r>
  <r>
    <x v="1"/>
    <x v="0"/>
    <x v="11"/>
    <s v="CMTA11"/>
    <x v="26"/>
    <n v="3.9510999999999998"/>
    <n v="48.3"/>
    <n v="1"/>
    <n v="19.308800000000002"/>
    <n v="97"/>
    <n v="0.49"/>
    <n v="5.3666666666666663"/>
    <n v="6445.3666666666659"/>
    <x v="0"/>
  </r>
  <r>
    <x v="0"/>
    <x v="0"/>
    <x v="9"/>
    <s v="T6"/>
    <x v="25"/>
    <n v="3.7974999999999999"/>
    <n v="5.13"/>
    <n v="1"/>
    <n v="4.5145999999999997"/>
    <n v="22.279599999999999"/>
    <n v="0.47"/>
    <n v="0.85499999999999998"/>
    <n v="1026.855"/>
    <x v="0"/>
  </r>
  <r>
    <x v="1"/>
    <x v="0"/>
    <x v="14"/>
    <s v="CMTA08"/>
    <x v="26"/>
    <n v="3.4824999999999999"/>
    <n v="59.8"/>
    <n v="1"/>
    <n v="25.5169"/>
    <n v="139"/>
    <n v="0.44"/>
    <n v="6.6444444444444439"/>
    <n v="7979.9777777777772"/>
    <x v="0"/>
  </r>
  <r>
    <x v="1"/>
    <x v="0"/>
    <x v="11"/>
    <s v="CMTA11"/>
    <x v="25"/>
    <n v="3.1642000000000001"/>
    <n v="166.7"/>
    <n v="1"/>
    <n v="35.398800000000001"/>
    <n v="166.66149999999999"/>
    <n v="0.4"/>
    <n v="18.522222222222219"/>
    <n v="22245.18888888889"/>
    <x v="0"/>
  </r>
  <r>
    <x v="1"/>
    <x v="0"/>
    <x v="10"/>
    <s v="CMTA07"/>
    <x v="26"/>
    <n v="3.0360999999999998"/>
    <n v="128.58000000000001"/>
    <n v="1"/>
    <n v="46.2712"/>
    <n v="170.9581"/>
    <n v="0.38"/>
    <n v="14.286666666666671"/>
    <n v="17158.28666666667"/>
    <x v="0"/>
  </r>
  <r>
    <x v="1"/>
    <x v="0"/>
    <x v="12"/>
    <s v="CMTA10"/>
    <x v="26"/>
    <n v="2.5013999999999998"/>
    <n v="39.89"/>
    <n v="1"/>
    <n v="21.171700000000001"/>
    <n v="79.561899999999994"/>
    <n v="0.31"/>
    <n v="4.4322222222222223"/>
    <n v="5323.0988888888887"/>
    <x v="0"/>
  </r>
  <r>
    <x v="1"/>
    <x v="0"/>
    <x v="12"/>
    <s v="CMTA10"/>
    <x v="25"/>
    <n v="2.3325"/>
    <n v="26.9"/>
    <n v="1"/>
    <n v="16.0181"/>
    <n v="70"/>
    <n v="0.28999999999999998"/>
    <n v="2.9888888888888889"/>
    <n v="3589.655555555556"/>
    <x v="0"/>
  </r>
  <r>
    <x v="1"/>
    <x v="0"/>
    <x v="14"/>
    <s v="CMTA08"/>
    <x v="25"/>
    <n v="2.1505999999999998"/>
    <n v="51.79"/>
    <n v="1"/>
    <n v="28.886299999999999"/>
    <n v="97"/>
    <n v="0.27"/>
    <n v="5.7544444444444443"/>
    <n v="6911.0877777777778"/>
    <x v="0"/>
  </r>
  <r>
    <x v="1"/>
    <x v="0"/>
    <x v="7"/>
    <s v="CMTA01"/>
    <x v="27"/>
    <n v="0.87719999999999998"/>
    <n v="10.58"/>
    <n v="1"/>
    <n v="23.650200000000002"/>
    <n v="111.2867"/>
    <n v="0.11"/>
    <n v="1.175555555555555"/>
    <n v="1411.8422222222221"/>
    <x v="1"/>
  </r>
  <r>
    <x v="0"/>
    <x v="0"/>
    <x v="0"/>
    <s v="T4"/>
    <x v="26"/>
    <n v="0.81279999999999997"/>
    <n v="8.51"/>
    <n v="1"/>
    <n v="14.4696"/>
    <n v="70.709400000000002"/>
    <n v="0.1"/>
    <n v="1.418333333333333"/>
    <n v="1703.4183333333331"/>
    <x v="0"/>
  </r>
  <r>
    <x v="0"/>
    <x v="0"/>
    <x v="0"/>
    <s v="T4"/>
    <x v="25"/>
    <n v="0.40749999999999997"/>
    <n v="0.03"/>
    <n v="0"/>
    <n v="6.0468000000000002"/>
    <n v="11.2416"/>
    <n v="0.05"/>
    <n v="5.0000000000000001E-3"/>
    <n v="6.0049999999999999"/>
    <x v="0"/>
  </r>
  <r>
    <x v="0"/>
    <x v="0"/>
    <x v="13"/>
    <s v="T5"/>
    <x v="25"/>
    <n v="0.18279999999999999"/>
    <n v="3.16"/>
    <n v="1"/>
    <n v="16.999700000000001"/>
    <n v="25"/>
    <n v="0.02"/>
    <n v="0.52666666666666673"/>
    <n v="632.52666666666676"/>
    <x v="0"/>
  </r>
  <r>
    <x v="0"/>
    <x v="0"/>
    <x v="8"/>
    <s v="T7"/>
    <x v="27"/>
    <n v="3.2500000000000001E-2"/>
    <n v="0.04"/>
    <n v="0"/>
    <n v="3.0026999999999999"/>
    <n v="11.6861"/>
    <n v="0"/>
    <n v="6.6666666666666671E-3"/>
    <n v="8.0066666666666677"/>
    <x v="1"/>
  </r>
  <r>
    <x v="0"/>
    <x v="0"/>
    <x v="15"/>
    <s v="T9"/>
    <x v="26"/>
    <n v="1.2500000000000001E-2"/>
    <n v="13.74"/>
    <n v="1"/>
    <n v="0"/>
    <n v="0"/>
    <n v="0"/>
    <n v="2.29"/>
    <n v="2750.29"/>
    <x v="0"/>
  </r>
  <r>
    <x v="1"/>
    <x v="0"/>
    <x v="12"/>
    <s v="CMTA10"/>
    <x v="28"/>
    <n v="1.6999999999999999E-3"/>
    <n v="0.01"/>
    <n v="0"/>
    <n v="5.8338000000000001"/>
    <n v="5.8338000000000001"/>
    <n v="0"/>
    <n v="1.1111111111111109E-3"/>
    <n v="1.334444444444445"/>
    <x v="1"/>
  </r>
  <r>
    <x v="1"/>
    <x v="0"/>
    <x v="10"/>
    <s v="CMTA07"/>
    <x v="27"/>
    <n v="0"/>
    <n v="0"/>
    <n v="0"/>
    <n v="0"/>
    <n v="0"/>
    <n v="0"/>
    <n v="0"/>
    <n v="0"/>
    <x v="1"/>
  </r>
  <r>
    <x v="0"/>
    <x v="0"/>
    <x v="8"/>
    <s v="T7"/>
    <x v="25"/>
    <n v="0"/>
    <n v="0.09"/>
    <n v="0"/>
    <n v="12.764900000000001"/>
    <n v="24.7242"/>
    <n v="0"/>
    <n v="1.4999999999999999E-2"/>
    <n v="18.015000000000001"/>
    <x v="0"/>
  </r>
  <r>
    <x v="1"/>
    <x v="1"/>
    <x v="16"/>
    <s v="CMTA03"/>
    <x v="27"/>
    <n v="0"/>
    <n v="46.36"/>
    <n v="1"/>
    <n v="33.812399999999997"/>
    <n v="84.228999999999999"/>
    <n v="0"/>
    <n v="4.2145454545454548"/>
    <n v="6532.545454545455"/>
    <x v="1"/>
  </r>
  <r>
    <x v="1"/>
    <x v="1"/>
    <x v="18"/>
    <s v="CMTA04"/>
    <x v="27"/>
    <n v="0"/>
    <n v="15.37"/>
    <n v="1"/>
    <n v="24.550799999999999"/>
    <n v="70.487099999999998"/>
    <n v="0"/>
    <n v="1.397272727272727"/>
    <n v="2165.772727272727"/>
    <x v="1"/>
  </r>
  <r>
    <x v="1"/>
    <x v="1"/>
    <x v="18"/>
    <s v="CMTA04"/>
    <x v="25"/>
    <n v="0"/>
    <n v="56.13"/>
    <n v="1"/>
    <n v="25.623799999999999"/>
    <n v="112.34229999999999"/>
    <n v="0"/>
    <n v="5.1027272727272726"/>
    <n v="7909.2272727272721"/>
    <x v="0"/>
  </r>
  <r>
    <x v="1"/>
    <x v="1"/>
    <x v="16"/>
    <s v="CMTA03"/>
    <x v="26"/>
    <n v="0"/>
    <n v="36.909999999999997"/>
    <n v="1"/>
    <n v="31.931699999999999"/>
    <n v="88.414500000000004"/>
    <n v="0"/>
    <n v="3.355454545454545"/>
    <n v="5200.954545454545"/>
    <x v="0"/>
  </r>
  <r>
    <x v="1"/>
    <x v="1"/>
    <x v="18"/>
    <s v="CMTA04"/>
    <x v="26"/>
    <n v="0"/>
    <n v="78.069999999999993"/>
    <n v="1"/>
    <n v="30.024999999999999"/>
    <n v="93.118600000000001"/>
    <n v="0"/>
    <n v="7.0972727272727267"/>
    <n v="11000.77272727273"/>
    <x v="0"/>
  </r>
  <r>
    <x v="1"/>
    <x v="1"/>
    <x v="19"/>
    <s v="CMTA05"/>
    <x v="25"/>
    <n v="0"/>
    <n v="42.8"/>
    <n v="1"/>
    <n v="18.679400000000001"/>
    <n v="72"/>
    <n v="0"/>
    <n v="3.8909090909090911"/>
    <n v="6030.9090909090901"/>
    <x v="0"/>
  </r>
  <r>
    <x v="1"/>
    <x v="0"/>
    <x v="17"/>
    <s v="CMTA02"/>
    <x v="26"/>
    <n v="0"/>
    <n v="63.79"/>
    <n v="1"/>
    <n v="27.8078"/>
    <n v="116.0278"/>
    <n v="0"/>
    <n v="7.0877777777777773"/>
    <n v="8512.4211111111108"/>
    <x v="0"/>
  </r>
  <r>
    <x v="1"/>
    <x v="0"/>
    <x v="17"/>
    <s v="CMTA02"/>
    <x v="25"/>
    <n v="0"/>
    <n v="64.81"/>
    <n v="1"/>
    <n v="24.811"/>
    <n v="90"/>
    <n v="0"/>
    <n v="7.2011111111111106"/>
    <n v="8648.5344444444454"/>
    <x v="0"/>
  </r>
  <r>
    <x v="1"/>
    <x v="1"/>
    <x v="16"/>
    <s v="CMTA03"/>
    <x v="25"/>
    <n v="0"/>
    <n v="38.22"/>
    <n v="1"/>
    <n v="33.476300000000002"/>
    <n v="103.45269999999999"/>
    <n v="0"/>
    <n v="3.474545454545455"/>
    <n v="5385.545454545455"/>
    <x v="0"/>
  </r>
  <r>
    <x v="1"/>
    <x v="1"/>
    <x v="16"/>
    <s v="CMTA03"/>
    <x v="28"/>
    <n v="0"/>
    <n v="22.22"/>
    <n v="1"/>
    <n v="33.723100000000002"/>
    <n v="82.006600000000006"/>
    <n v="0"/>
    <n v="2.02"/>
    <n v="3131"/>
    <x v="1"/>
  </r>
  <r>
    <x v="1"/>
    <x v="1"/>
    <x v="19"/>
    <s v="CMTA05"/>
    <x v="26"/>
    <n v="0"/>
    <n v="35.869999999999997"/>
    <n v="1"/>
    <n v="19.311299999999999"/>
    <n v="73.000100000000003"/>
    <n v="0"/>
    <n v="3.2609090909090912"/>
    <n v="5054.409090909091"/>
    <x v="0"/>
  </r>
  <r>
    <x v="0"/>
    <x v="0"/>
    <x v="8"/>
    <s v="T7"/>
    <x v="29"/>
    <n v="7.6955999999999998"/>
    <n v="13.31"/>
    <n v="1"/>
    <n v="4.2717000000000001"/>
    <n v="14.001099999999999"/>
    <n v="0.96"/>
    <n v="2.2183333333333328"/>
    <n v="2664.2183333333328"/>
    <x v="0"/>
  </r>
  <r>
    <x v="0"/>
    <x v="0"/>
    <x v="2"/>
    <s v="T13"/>
    <x v="29"/>
    <n v="6.6528"/>
    <n v="24.61"/>
    <n v="1"/>
    <n v="5.9588000000000001"/>
    <n v="23.890799999999999"/>
    <n v="0.83"/>
    <n v="4.1016666666666666"/>
    <n v="4926.1016666666656"/>
    <x v="0"/>
  </r>
  <r>
    <x v="0"/>
    <x v="0"/>
    <x v="5"/>
    <s v="T10"/>
    <x v="29"/>
    <n v="6.5053000000000001"/>
    <n v="21.65"/>
    <n v="1"/>
    <n v="7.3952999999999998"/>
    <n v="29.0001"/>
    <n v="0.81"/>
    <n v="3.6083333333333329"/>
    <n v="4333.6083333333327"/>
    <x v="0"/>
  </r>
  <r>
    <x v="1"/>
    <x v="0"/>
    <x v="7"/>
    <s v="CMTA01"/>
    <x v="29"/>
    <n v="4.8661000000000003"/>
    <n v="20.29"/>
    <n v="1"/>
    <n v="13.5375"/>
    <n v="164.62430000000001"/>
    <n v="0.61"/>
    <n v="2.2544444444444438"/>
    <n v="2707.5877777777769"/>
    <x v="0"/>
  </r>
  <r>
    <x v="0"/>
    <x v="0"/>
    <x v="15"/>
    <s v="T9"/>
    <x v="29"/>
    <n v="4.2916999999999996"/>
    <n v="13.1"/>
    <n v="1"/>
    <n v="5.5518999999999998"/>
    <n v="26.9466"/>
    <n v="0.54"/>
    <n v="2.1833333333333331"/>
    <n v="2622.1833333333329"/>
    <x v="0"/>
  </r>
  <r>
    <x v="1"/>
    <x v="0"/>
    <x v="10"/>
    <s v="CMTA07"/>
    <x v="29"/>
    <n v="4.1881000000000004"/>
    <n v="154.51"/>
    <n v="1"/>
    <n v="40.462600000000002"/>
    <n v="179.77359999999999"/>
    <n v="0.52"/>
    <n v="17.167777777777779"/>
    <n v="20618.501111111109"/>
    <x v="0"/>
  </r>
  <r>
    <x v="0"/>
    <x v="0"/>
    <x v="0"/>
    <s v="T4"/>
    <x v="29"/>
    <n v="3.9157999999999999"/>
    <n v="39.090000000000003"/>
    <n v="1"/>
    <n v="12.459899999999999"/>
    <n v="39.984699999999997"/>
    <n v="0.49"/>
    <n v="6.5150000000000006"/>
    <n v="7824.5150000000003"/>
    <x v="0"/>
  </r>
  <r>
    <x v="0"/>
    <x v="0"/>
    <x v="20"/>
    <s v="T8"/>
    <x v="29"/>
    <n v="3.5181"/>
    <n v="12.6"/>
    <n v="1"/>
    <n v="6.7731000000000003"/>
    <n v="66.764600000000002"/>
    <n v="0.44"/>
    <n v="2.1"/>
    <n v="2522.1"/>
    <x v="0"/>
  </r>
  <r>
    <x v="1"/>
    <x v="0"/>
    <x v="11"/>
    <s v="CMTA11"/>
    <x v="29"/>
    <n v="3.41"/>
    <n v="51.26"/>
    <n v="1"/>
    <n v="19.6402"/>
    <n v="82.000100000000003"/>
    <n v="0.43"/>
    <n v="5.695555555555555"/>
    <n v="6840.362222222222"/>
    <x v="0"/>
  </r>
  <r>
    <x v="1"/>
    <x v="0"/>
    <x v="12"/>
    <s v="CMTA10"/>
    <x v="29"/>
    <n v="3.2006000000000001"/>
    <n v="29.68"/>
    <n v="1"/>
    <n v="16.7483"/>
    <n v="89.000100000000003"/>
    <n v="0.4"/>
    <n v="3.2977777777777781"/>
    <n v="3960.6311111111108"/>
    <x v="0"/>
  </r>
  <r>
    <x v="0"/>
    <x v="0"/>
    <x v="21"/>
    <s v="T11"/>
    <x v="29"/>
    <n v="3.0194000000000001"/>
    <n v="20.54"/>
    <n v="1"/>
    <n v="7.3483000000000001"/>
    <n v="30"/>
    <n v="0.38"/>
    <n v="3.4233333333333329"/>
    <n v="4111.4233333333332"/>
    <x v="0"/>
  </r>
  <r>
    <x v="0"/>
    <x v="0"/>
    <x v="1"/>
    <s v="T14"/>
    <x v="29"/>
    <n v="2.8961000000000001"/>
    <n v="17.77"/>
    <n v="1"/>
    <n v="9.3475000000000001"/>
    <n v="66.931299999999993"/>
    <n v="0.36"/>
    <n v="2.961666666666666"/>
    <n v="3556.961666666667"/>
    <x v="0"/>
  </r>
  <r>
    <x v="0"/>
    <x v="0"/>
    <x v="13"/>
    <s v="T5"/>
    <x v="29"/>
    <n v="2.4053"/>
    <n v="9.06"/>
    <n v="1"/>
    <n v="5.4428999999999998"/>
    <n v="25.390899999999998"/>
    <n v="0.3"/>
    <n v="1.51"/>
    <n v="1813.51"/>
    <x v="0"/>
  </r>
  <r>
    <x v="1"/>
    <x v="0"/>
    <x v="14"/>
    <s v="CMTA08"/>
    <x v="29"/>
    <n v="2.1307999999999998"/>
    <n v="52.24"/>
    <n v="1"/>
    <n v="31.597000000000001"/>
    <n v="155.10499999999999"/>
    <n v="0.27"/>
    <n v="5.804444444444445"/>
    <n v="6971.137777777778"/>
    <x v="0"/>
  </r>
  <r>
    <x v="0"/>
    <x v="0"/>
    <x v="6"/>
    <s v="T12"/>
    <x v="29"/>
    <n v="1.0993999999999999"/>
    <n v="5.58"/>
    <n v="1"/>
    <n v="8.6015999999999995"/>
    <n v="17.427299999999999"/>
    <n v="0.14000000000000001"/>
    <n v="0.93"/>
    <n v="1116.93"/>
    <x v="0"/>
  </r>
  <r>
    <x v="0"/>
    <x v="0"/>
    <x v="9"/>
    <s v="T6"/>
    <x v="29"/>
    <n v="0.77080000000000004"/>
    <n v="0.82"/>
    <n v="0"/>
    <n v="4.5353000000000003"/>
    <n v="22.298100000000002"/>
    <n v="0.1"/>
    <n v="0.13666666666666669"/>
    <n v="164.13666666666671"/>
    <x v="0"/>
  </r>
  <r>
    <x v="1"/>
    <x v="1"/>
    <x v="16"/>
    <s v="CMTA03"/>
    <x v="29"/>
    <n v="0"/>
    <n v="37.409999999999997"/>
    <n v="1"/>
    <n v="35.293500000000002"/>
    <n v="106"/>
    <n v="0"/>
    <n v="3.40090909090909"/>
    <n v="5271.4090909090901"/>
    <x v="0"/>
  </r>
  <r>
    <x v="1"/>
    <x v="1"/>
    <x v="19"/>
    <s v="CMTA05"/>
    <x v="29"/>
    <n v="0"/>
    <n v="26.26"/>
    <n v="1"/>
    <n v="14.729100000000001"/>
    <n v="43.410899999999998"/>
    <n v="0"/>
    <n v="2.3872727272727272"/>
    <n v="3700.272727272727"/>
    <x v="0"/>
  </r>
  <r>
    <x v="1"/>
    <x v="1"/>
    <x v="18"/>
    <s v="CMTA04"/>
    <x v="29"/>
    <n v="0"/>
    <n v="59.68"/>
    <n v="1"/>
    <n v="29.482099999999999"/>
    <n v="111.583"/>
    <n v="0"/>
    <n v="5.4254545454545458"/>
    <n v="8409.454545454546"/>
    <x v="0"/>
  </r>
  <r>
    <x v="1"/>
    <x v="0"/>
    <x v="17"/>
    <s v="CMTA02"/>
    <x v="29"/>
    <n v="0"/>
    <n v="48.03"/>
    <n v="1"/>
    <n v="19.776700000000002"/>
    <n v="81"/>
    <n v="0"/>
    <n v="5.3366666666666669"/>
    <n v="6409.336666666667"/>
    <x v="0"/>
  </r>
  <r>
    <x v="0"/>
    <x v="0"/>
    <x v="15"/>
    <s v="T9"/>
    <x v="30"/>
    <n v="12.2506"/>
    <n v="40.76"/>
    <n v="1"/>
    <n v="4.9397000000000002"/>
    <n v="15.427199999999999"/>
    <n v="1.53"/>
    <n v="6.793333333333333"/>
    <n v="8158.7933333333331"/>
    <x v="0"/>
  </r>
  <r>
    <x v="0"/>
    <x v="0"/>
    <x v="5"/>
    <s v="T10"/>
    <x v="30"/>
    <n v="7.2877999999999998"/>
    <n v="16.059999999999999"/>
    <n v="1"/>
    <n v="7.61"/>
    <n v="68.190600000000003"/>
    <n v="0.91"/>
    <n v="2.6766666666666659"/>
    <n v="3214.6766666666658"/>
    <x v="0"/>
  </r>
  <r>
    <x v="0"/>
    <x v="0"/>
    <x v="8"/>
    <s v="T7"/>
    <x v="30"/>
    <n v="6.72"/>
    <n v="9.3000000000000007"/>
    <n v="1"/>
    <n v="4.5602999999999998"/>
    <n v="22.538799999999998"/>
    <n v="0.84"/>
    <n v="1.55"/>
    <n v="1861.55"/>
    <x v="0"/>
  </r>
  <r>
    <x v="0"/>
    <x v="0"/>
    <x v="2"/>
    <s v="T13"/>
    <x v="30"/>
    <n v="5.8102999999999998"/>
    <n v="51.4"/>
    <n v="1"/>
    <n v="11.2164"/>
    <n v="48.800199999999997"/>
    <n v="0.73"/>
    <n v="8.5666666666666664"/>
    <n v="10288.566666666669"/>
    <x v="0"/>
  </r>
  <r>
    <x v="0"/>
    <x v="0"/>
    <x v="9"/>
    <s v="T6"/>
    <x v="30"/>
    <n v="5.0331000000000001"/>
    <n v="6.32"/>
    <n v="1"/>
    <n v="4.649"/>
    <n v="17.6496"/>
    <n v="0.63"/>
    <n v="1.053333333333333"/>
    <n v="1265.053333333334"/>
    <x v="0"/>
  </r>
  <r>
    <x v="1"/>
    <x v="0"/>
    <x v="11"/>
    <s v="CMTA11"/>
    <x v="30"/>
    <n v="4.8478000000000003"/>
    <n v="35.450000000000003"/>
    <n v="1"/>
    <n v="15.7568"/>
    <n v="41.707000000000001"/>
    <n v="0.61"/>
    <n v="3.9388888888888891"/>
    <n v="4730.6055555555558"/>
    <x v="0"/>
  </r>
  <r>
    <x v="0"/>
    <x v="0"/>
    <x v="1"/>
    <s v="T14"/>
    <x v="30"/>
    <n v="4.0407999999999999"/>
    <n v="20.25"/>
    <n v="1"/>
    <n v="8.6105999999999998"/>
    <n v="34.298999999999999"/>
    <n v="0.51"/>
    <n v="3.375"/>
    <n v="4053.375"/>
    <x v="0"/>
  </r>
  <r>
    <x v="1"/>
    <x v="0"/>
    <x v="12"/>
    <s v="CMTA10"/>
    <x v="30"/>
    <n v="3.5310999999999999"/>
    <n v="47.88"/>
    <n v="1"/>
    <n v="19.747299999999999"/>
    <n v="100"/>
    <n v="0.44"/>
    <n v="5.32"/>
    <n v="6389.3200000000006"/>
    <x v="0"/>
  </r>
  <r>
    <x v="0"/>
    <x v="0"/>
    <x v="13"/>
    <s v="T5"/>
    <x v="30"/>
    <n v="2.7210999999999999"/>
    <n v="11.65"/>
    <n v="1"/>
    <n v="6.4889000000000001"/>
    <n v="24.0001"/>
    <n v="0.34"/>
    <n v="1.9416666666666671"/>
    <n v="2331.9416666666671"/>
    <x v="0"/>
  </r>
  <r>
    <x v="0"/>
    <x v="0"/>
    <x v="20"/>
    <s v="T8"/>
    <x v="30"/>
    <n v="2.5867"/>
    <n v="15.71"/>
    <n v="1"/>
    <n v="9.3740000000000006"/>
    <n v="68.357299999999995"/>
    <n v="0.32"/>
    <n v="2.6183333333333341"/>
    <n v="3144.6183333333338"/>
    <x v="0"/>
  </r>
  <r>
    <x v="1"/>
    <x v="0"/>
    <x v="7"/>
    <s v="CMTA01"/>
    <x v="30"/>
    <n v="2.5461"/>
    <n v="67.89"/>
    <n v="1"/>
    <n v="33.054000000000002"/>
    <n v="128.0001"/>
    <n v="0.32"/>
    <n v="7.543333333333333"/>
    <n v="9059.5433333333331"/>
    <x v="0"/>
  </r>
  <r>
    <x v="1"/>
    <x v="0"/>
    <x v="10"/>
    <s v="CMTA07"/>
    <x v="30"/>
    <n v="2.5438999999999998"/>
    <n v="119.74"/>
    <n v="1"/>
    <n v="47.3521"/>
    <n v="179.607"/>
    <n v="0.32"/>
    <n v="13.304444444444441"/>
    <n v="15978.63777777778"/>
    <x v="0"/>
  </r>
  <r>
    <x v="1"/>
    <x v="0"/>
    <x v="14"/>
    <s v="CMTA08"/>
    <x v="30"/>
    <n v="2.4036"/>
    <n v="70.41"/>
    <n v="1"/>
    <n v="37.284100000000002"/>
    <n v="132"/>
    <n v="0.3"/>
    <n v="7.8233333333333333"/>
    <n v="9395.8233333333337"/>
    <x v="0"/>
  </r>
  <r>
    <x v="0"/>
    <x v="0"/>
    <x v="0"/>
    <s v="T4"/>
    <x v="30"/>
    <n v="1.4308000000000001"/>
    <n v="12.94"/>
    <n v="1"/>
    <n v="10.4366"/>
    <n v="31.150600000000001"/>
    <n v="0.18"/>
    <n v="2.1566666666666672"/>
    <n v="2590.1566666666672"/>
    <x v="0"/>
  </r>
  <r>
    <x v="0"/>
    <x v="0"/>
    <x v="21"/>
    <s v="T11"/>
    <x v="30"/>
    <n v="0.88690000000000002"/>
    <n v="8.51"/>
    <n v="1"/>
    <n v="8.4086999999999996"/>
    <n v="67.246099999999998"/>
    <n v="0.11"/>
    <n v="1.418333333333333"/>
    <n v="1703.4183333333331"/>
    <x v="0"/>
  </r>
  <r>
    <x v="1"/>
    <x v="1"/>
    <x v="19"/>
    <s v="CMTA05"/>
    <x v="30"/>
    <n v="0"/>
    <n v="50.76"/>
    <n v="1"/>
    <n v="20.060199999999998"/>
    <n v="107.0271"/>
    <n v="0"/>
    <n v="4.6145454545454543"/>
    <n v="7152.545454545454"/>
    <x v="0"/>
  </r>
  <r>
    <x v="1"/>
    <x v="1"/>
    <x v="16"/>
    <s v="CMTA03"/>
    <x v="30"/>
    <n v="0"/>
    <n v="76.88"/>
    <n v="1"/>
    <n v="33.654800000000002"/>
    <n v="111"/>
    <n v="0"/>
    <n v="6.9890909090909084"/>
    <n v="10833.09090909091"/>
    <x v="0"/>
  </r>
  <r>
    <x v="1"/>
    <x v="0"/>
    <x v="17"/>
    <s v="CMTA02"/>
    <x v="30"/>
    <n v="0"/>
    <n v="47.56"/>
    <n v="1"/>
    <n v="23.918099999999999"/>
    <n v="99"/>
    <n v="0"/>
    <n v="5.2844444444444436"/>
    <n v="6346.6177777777784"/>
    <x v="0"/>
  </r>
  <r>
    <x v="1"/>
    <x v="1"/>
    <x v="18"/>
    <s v="CMTA04"/>
    <x v="30"/>
    <n v="0"/>
    <n v="53.62"/>
    <n v="1"/>
    <n v="28.854199999999999"/>
    <n v="88.358900000000006"/>
    <n v="0"/>
    <n v="4.8745454545454541"/>
    <n v="7555.545454545454"/>
    <x v="0"/>
  </r>
  <r>
    <x v="0"/>
    <x v="0"/>
    <x v="15"/>
    <s v="T9"/>
    <x v="31"/>
    <n v="14.306100000000001"/>
    <n v="19.52"/>
    <n v="1"/>
    <n v="5.5251000000000001"/>
    <n v="17.927399999999999"/>
    <n v="1.79"/>
    <n v="3.253333333333333"/>
    <n v="3907.253333333334"/>
    <x v="0"/>
  </r>
  <r>
    <x v="0"/>
    <x v="0"/>
    <x v="9"/>
    <s v="T6"/>
    <x v="31"/>
    <n v="8.3228000000000009"/>
    <n v="26.74"/>
    <n v="1"/>
    <n v="5.8849999999999998"/>
    <n v="22.335100000000001"/>
    <n v="1.04"/>
    <n v="4.4566666666666661"/>
    <n v="5352.456666666666"/>
    <x v="0"/>
  </r>
  <r>
    <x v="0"/>
    <x v="0"/>
    <x v="2"/>
    <s v="T13"/>
    <x v="31"/>
    <n v="6.5122"/>
    <n v="24.72"/>
    <n v="1"/>
    <n v="6.6856999999999998"/>
    <n v="74.487399999999994"/>
    <n v="0.81"/>
    <n v="4.12"/>
    <n v="4948.12"/>
    <x v="0"/>
  </r>
  <r>
    <x v="0"/>
    <x v="0"/>
    <x v="13"/>
    <s v="T5"/>
    <x v="31"/>
    <n v="6.3441999999999998"/>
    <n v="35.11"/>
    <n v="1"/>
    <n v="7.9782999999999999"/>
    <n v="36.095500000000001"/>
    <n v="0.79"/>
    <n v="5.8516666666666666"/>
    <n v="7027.8516666666656"/>
    <x v="0"/>
  </r>
  <r>
    <x v="0"/>
    <x v="0"/>
    <x v="8"/>
    <s v="T7"/>
    <x v="31"/>
    <n v="6.0594000000000001"/>
    <n v="10.4"/>
    <n v="1"/>
    <n v="4.3234000000000004"/>
    <n v="16.204999999999998"/>
    <n v="0.76"/>
    <n v="1.7333333333333329"/>
    <n v="2081.733333333334"/>
    <x v="0"/>
  </r>
  <r>
    <x v="0"/>
    <x v="0"/>
    <x v="1"/>
    <s v="T14"/>
    <x v="31"/>
    <n v="4.6158000000000001"/>
    <n v="27.12"/>
    <n v="1"/>
    <n v="8.7691999999999997"/>
    <n v="68.412899999999993"/>
    <n v="0.57999999999999996"/>
    <n v="4.5199999999999996"/>
    <n v="5428.52"/>
    <x v="0"/>
  </r>
  <r>
    <x v="1"/>
    <x v="0"/>
    <x v="11"/>
    <s v="CMTA11"/>
    <x v="31"/>
    <n v="3.9678"/>
    <n v="45.58"/>
    <n v="1"/>
    <n v="19.4101"/>
    <n v="117.4353"/>
    <n v="0.5"/>
    <n v="5.0644444444444439"/>
    <n v="6082.3977777777773"/>
    <x v="0"/>
  </r>
  <r>
    <x v="0"/>
    <x v="0"/>
    <x v="20"/>
    <s v="T8"/>
    <x v="31"/>
    <n v="2.8624999999999998"/>
    <n v="15.15"/>
    <n v="1"/>
    <n v="8.1734000000000009"/>
    <n v="66.801599999999993"/>
    <n v="0.36"/>
    <n v="2.5249999999999999"/>
    <n v="3032.5250000000001"/>
    <x v="0"/>
  </r>
  <r>
    <x v="1"/>
    <x v="0"/>
    <x v="14"/>
    <s v="CMTA08"/>
    <x v="31"/>
    <n v="2.6177999999999999"/>
    <n v="61.85"/>
    <n v="1"/>
    <n v="28.212800000000001"/>
    <n v="104.15649999999999"/>
    <n v="0.33"/>
    <n v="6.8722222222222227"/>
    <n v="8253.5388888888901"/>
    <x v="0"/>
  </r>
  <r>
    <x v="1"/>
    <x v="0"/>
    <x v="10"/>
    <s v="CMTA07"/>
    <x v="31"/>
    <n v="2.6177999999999999"/>
    <n v="101.62"/>
    <n v="1"/>
    <n v="43.952399999999997"/>
    <n v="146.73400000000001"/>
    <n v="0.33"/>
    <n v="11.29111111111111"/>
    <n v="13560.624444444449"/>
    <x v="0"/>
  </r>
  <r>
    <x v="1"/>
    <x v="0"/>
    <x v="12"/>
    <s v="CMTA10"/>
    <x v="31"/>
    <n v="2.5583"/>
    <n v="34.869999999999997"/>
    <n v="1"/>
    <n v="17.355399999999999"/>
    <n v="102.7675"/>
    <n v="0.32"/>
    <n v="3.8744444444444439"/>
    <n v="4653.2077777777777"/>
    <x v="0"/>
  </r>
  <r>
    <x v="1"/>
    <x v="0"/>
    <x v="7"/>
    <s v="CMTA01"/>
    <x v="31"/>
    <n v="1.9897"/>
    <n v="28.99"/>
    <n v="1"/>
    <n v="18.147600000000001"/>
    <n v="87.710700000000003"/>
    <n v="0.25"/>
    <n v="3.221111111111111"/>
    <n v="3868.554444444444"/>
    <x v="0"/>
  </r>
  <r>
    <x v="0"/>
    <x v="0"/>
    <x v="21"/>
    <s v="T11"/>
    <x v="31"/>
    <n v="0.30280000000000001"/>
    <n v="4.1100000000000003"/>
    <n v="1"/>
    <n v="9.1338000000000008"/>
    <n v="24.242699999999999"/>
    <n v="0.04"/>
    <n v="0.68500000000000005"/>
    <n v="822.68500000000006"/>
    <x v="0"/>
  </r>
  <r>
    <x v="0"/>
    <x v="0"/>
    <x v="6"/>
    <s v="T12"/>
    <x v="31"/>
    <n v="0.2031"/>
    <n v="1.85"/>
    <n v="1"/>
    <n v="9.3792000000000009"/>
    <n v="22.020299999999999"/>
    <n v="0.03"/>
    <n v="0.30833333333333329"/>
    <n v="370.30833333333328"/>
    <x v="0"/>
  </r>
  <r>
    <x v="0"/>
    <x v="0"/>
    <x v="5"/>
    <s v="T10"/>
    <x v="31"/>
    <n v="2.0299999999999999E-2"/>
    <n v="0.05"/>
    <n v="0"/>
    <n v="3.0383"/>
    <n v="14.630800000000001"/>
    <n v="0"/>
    <n v="8.3333333333333332E-3"/>
    <n v="10.008333333333329"/>
    <x v="0"/>
  </r>
  <r>
    <x v="1"/>
    <x v="1"/>
    <x v="19"/>
    <s v="CMTA05"/>
    <x v="31"/>
    <n v="0"/>
    <n v="32.89"/>
    <n v="1"/>
    <n v="12.489699999999999"/>
    <n v="37.188200000000002"/>
    <n v="0"/>
    <n v="2.99"/>
    <n v="4634.5"/>
    <x v="0"/>
  </r>
  <r>
    <x v="1"/>
    <x v="1"/>
    <x v="16"/>
    <s v="CMTA03"/>
    <x v="31"/>
    <n v="0"/>
    <n v="59.65"/>
    <n v="1"/>
    <n v="37.900199999999998"/>
    <n v="100"/>
    <n v="0"/>
    <n v="5.4227272727272728"/>
    <n v="8405.2272727272721"/>
    <x v="0"/>
  </r>
  <r>
    <x v="1"/>
    <x v="1"/>
    <x v="18"/>
    <s v="CMTA04"/>
    <x v="31"/>
    <n v="0"/>
    <n v="60.23"/>
    <n v="1"/>
    <n v="29.839200000000002"/>
    <n v="93.451899999999995"/>
    <n v="0"/>
    <n v="5.4754545454545456"/>
    <n v="8486.954545454546"/>
    <x v="0"/>
  </r>
  <r>
    <x v="1"/>
    <x v="0"/>
    <x v="17"/>
    <s v="CMTA02"/>
    <x v="31"/>
    <n v="0"/>
    <n v="39.71"/>
    <n v="1"/>
    <n v="22.457699999999999"/>
    <n v="84.000100000000003"/>
    <n v="0"/>
    <n v="4.4122222222222227"/>
    <n v="5299.0788888888892"/>
    <x v="0"/>
  </r>
  <r>
    <x v="0"/>
    <x v="0"/>
    <x v="15"/>
    <s v="T9"/>
    <x v="32"/>
    <n v="6.7186000000000003"/>
    <n v="27.24"/>
    <n v="1"/>
    <n v="5.8247999999999998"/>
    <n v="20.464600000000001"/>
    <n v="0.84"/>
    <n v="4.54"/>
    <n v="5452.54"/>
    <x v="0"/>
  </r>
  <r>
    <x v="0"/>
    <x v="0"/>
    <x v="8"/>
    <s v="T7"/>
    <x v="32"/>
    <n v="6.7167000000000003"/>
    <n v="15.95"/>
    <n v="1"/>
    <n v="4.4169"/>
    <n v="114.861"/>
    <n v="0.84"/>
    <n v="2.6583333333333332"/>
    <n v="3192.6583333333328"/>
    <x v="0"/>
  </r>
  <r>
    <x v="0"/>
    <x v="0"/>
    <x v="9"/>
    <s v="T6"/>
    <x v="32"/>
    <n v="6.4249999999999998"/>
    <n v="22.19"/>
    <n v="1"/>
    <n v="5.4038000000000004"/>
    <n v="20.057200000000002"/>
    <n v="0.8"/>
    <n v="3.6983333333333341"/>
    <n v="4441.6983333333337"/>
    <x v="0"/>
  </r>
  <r>
    <x v="1"/>
    <x v="0"/>
    <x v="7"/>
    <s v="CMTA01"/>
    <x v="32"/>
    <n v="5.2350000000000003"/>
    <n v="130.93"/>
    <n v="1"/>
    <n v="23.314599999999999"/>
    <n v="198.97890000000001"/>
    <n v="0.65"/>
    <n v="14.54777777777778"/>
    <n v="17471.88111111111"/>
    <x v="0"/>
  </r>
  <r>
    <x v="0"/>
    <x v="0"/>
    <x v="2"/>
    <s v="T13"/>
    <x v="32"/>
    <n v="4.8930999999999996"/>
    <n v="17.84"/>
    <n v="1"/>
    <n v="5.7958999999999996"/>
    <n v="25.742799999999999"/>
    <n v="0.61"/>
    <n v="2.9733333333333332"/>
    <n v="3570.9733333333329"/>
    <x v="0"/>
  </r>
  <r>
    <x v="1"/>
    <x v="0"/>
    <x v="11"/>
    <s v="CMTA11"/>
    <x v="32"/>
    <n v="4.6356000000000002"/>
    <n v="38.369999999999997"/>
    <n v="1"/>
    <n v="15.4793"/>
    <n v="57.652799999999999"/>
    <n v="0.57999999999999996"/>
    <n v="4.2633333333333328"/>
    <n v="5120.2633333333324"/>
    <x v="0"/>
  </r>
  <r>
    <x v="1"/>
    <x v="0"/>
    <x v="10"/>
    <s v="CMTA07"/>
    <x v="32"/>
    <n v="3.7006000000000001"/>
    <n v="129.9"/>
    <n v="1"/>
    <n v="41.706000000000003"/>
    <n v="188.32990000000001"/>
    <n v="0.46"/>
    <n v="14.43333333333333"/>
    <n v="17334.433333333331"/>
    <x v="0"/>
  </r>
  <r>
    <x v="0"/>
    <x v="0"/>
    <x v="0"/>
    <s v="T4"/>
    <x v="32"/>
    <n v="3.6118999999999999"/>
    <n v="31.25"/>
    <n v="1"/>
    <n v="10.218400000000001"/>
    <n v="38.6327"/>
    <n v="0.45"/>
    <n v="5.208333333333333"/>
    <n v="6255.208333333333"/>
    <x v="0"/>
  </r>
  <r>
    <x v="1"/>
    <x v="0"/>
    <x v="10"/>
    <s v="CMTA07"/>
    <x v="33"/>
    <n v="2.9661"/>
    <n v="121.85"/>
    <n v="1"/>
    <n v="45.532899999999998"/>
    <n v="198.25659999999999"/>
    <n v="0.37"/>
    <n v="13.53888888888889"/>
    <n v="16260.205555555551"/>
    <x v="0"/>
  </r>
  <r>
    <x v="1"/>
    <x v="0"/>
    <x v="14"/>
    <s v="CMTA08"/>
    <x v="32"/>
    <n v="2.8378000000000001"/>
    <n v="49.55"/>
    <n v="1"/>
    <n v="27.7224"/>
    <n v="115.0001"/>
    <n v="0.35"/>
    <n v="5.5055555555555564"/>
    <n v="6612.1722222222224"/>
    <x v="0"/>
  </r>
  <r>
    <x v="1"/>
    <x v="0"/>
    <x v="12"/>
    <s v="CMTA10"/>
    <x v="32"/>
    <n v="2.7418999999999998"/>
    <n v="50.03"/>
    <n v="1"/>
    <n v="20.224499999999999"/>
    <n v="77.999899999999997"/>
    <n v="0.34"/>
    <n v="5.5588888888888892"/>
    <n v="6676.2255555555557"/>
    <x v="0"/>
  </r>
  <r>
    <x v="1"/>
    <x v="0"/>
    <x v="7"/>
    <s v="CMTA01"/>
    <x v="34"/>
    <n v="1.8864000000000001"/>
    <n v="32.08"/>
    <n v="1"/>
    <n v="28.09"/>
    <n v="87.000100000000003"/>
    <n v="0.24"/>
    <n v="3.5644444444444439"/>
    <n v="4280.8977777777773"/>
    <x v="1"/>
  </r>
  <r>
    <x v="1"/>
    <x v="0"/>
    <x v="14"/>
    <s v="CMTA08"/>
    <x v="35"/>
    <n v="1.7275"/>
    <n v="32.479999999999997"/>
    <n v="1"/>
    <n v="30.240300000000001"/>
    <n v="95"/>
    <n v="0.22"/>
    <n v="3.608888888888889"/>
    <n v="4334.275555555555"/>
    <x v="1"/>
  </r>
  <r>
    <x v="0"/>
    <x v="0"/>
    <x v="15"/>
    <s v="T9"/>
    <x v="35"/>
    <n v="1.6414"/>
    <n v="2.4900000000000002"/>
    <n v="1"/>
    <n v="4.1111000000000004"/>
    <n v="20.557200000000002"/>
    <n v="0.21"/>
    <n v="0.41499999999999998"/>
    <n v="498.41500000000002"/>
    <x v="1"/>
  </r>
  <r>
    <x v="0"/>
    <x v="0"/>
    <x v="8"/>
    <s v="T7"/>
    <x v="33"/>
    <n v="0.91220000000000001"/>
    <n v="4.38"/>
    <n v="1"/>
    <n v="7.5879000000000003"/>
    <n v="28.9468"/>
    <n v="0.11"/>
    <n v="0.73"/>
    <n v="876.73"/>
    <x v="0"/>
  </r>
  <r>
    <x v="1"/>
    <x v="0"/>
    <x v="7"/>
    <s v="CMTA01"/>
    <x v="35"/>
    <n v="0.73"/>
    <n v="14.63"/>
    <n v="1"/>
    <n v="33.867600000000003"/>
    <n v="92.9148"/>
    <n v="0.09"/>
    <n v="1.6255555555555561"/>
    <n v="1952.2922222222221"/>
    <x v="1"/>
  </r>
  <r>
    <x v="0"/>
    <x v="0"/>
    <x v="21"/>
    <s v="T11"/>
    <x v="32"/>
    <n v="0.59440000000000004"/>
    <n v="3.56"/>
    <n v="1"/>
    <n v="5.7500999999999998"/>
    <n v="22.335100000000001"/>
    <n v="7.0000000000000007E-2"/>
    <n v="0.59333333333333338"/>
    <n v="712.59333333333336"/>
    <x v="0"/>
  </r>
  <r>
    <x v="0"/>
    <x v="0"/>
    <x v="2"/>
    <s v="T13"/>
    <x v="35"/>
    <n v="0.50329999999999997"/>
    <n v="2.2400000000000002"/>
    <n v="1"/>
    <n v="6.3982000000000001"/>
    <n v="26.409500000000001"/>
    <n v="0.06"/>
    <n v="0.37333333333333341"/>
    <n v="448.37333333333328"/>
    <x v="1"/>
  </r>
  <r>
    <x v="1"/>
    <x v="0"/>
    <x v="10"/>
    <s v="CMTA07"/>
    <x v="35"/>
    <n v="0.28079999999999999"/>
    <n v="5.1100000000000003"/>
    <n v="1"/>
    <n v="25.901"/>
    <n v="58"/>
    <n v="0.04"/>
    <n v="0.56777777777777783"/>
    <n v="681.90111111111116"/>
    <x v="1"/>
  </r>
  <r>
    <x v="0"/>
    <x v="0"/>
    <x v="20"/>
    <s v="T8"/>
    <x v="32"/>
    <n v="0.2392"/>
    <n v="1"/>
    <n v="0"/>
    <n v="5.7919"/>
    <n v="35.762099999999997"/>
    <n v="0.03"/>
    <n v="0.16666666666666671"/>
    <n v="200.16666666666671"/>
    <x v="0"/>
  </r>
  <r>
    <x v="1"/>
    <x v="0"/>
    <x v="12"/>
    <s v="CMTA10"/>
    <x v="33"/>
    <n v="6.4000000000000003E-3"/>
    <n v="0.03"/>
    <n v="0"/>
    <n v="11.6953"/>
    <n v="33.706400000000002"/>
    <n v="0"/>
    <n v="3.3333333333333331E-3"/>
    <n v="4.003333333333333"/>
    <x v="0"/>
  </r>
  <r>
    <x v="0"/>
    <x v="0"/>
    <x v="15"/>
    <s v="T9"/>
    <x v="34"/>
    <n v="4.1999999999999997E-3"/>
    <n v="0"/>
    <n v="0"/>
    <n v="0"/>
    <n v="0"/>
    <n v="0"/>
    <n v="0"/>
    <n v="0"/>
    <x v="1"/>
  </r>
  <r>
    <x v="1"/>
    <x v="1"/>
    <x v="16"/>
    <s v="CMTA03"/>
    <x v="33"/>
    <n v="0"/>
    <n v="4.93"/>
    <n v="1"/>
    <n v="30.322199999999999"/>
    <n v="73.000100000000003"/>
    <n v="0"/>
    <n v="0.44818181818181818"/>
    <n v="694.68181818181813"/>
    <x v="0"/>
  </r>
  <r>
    <x v="0"/>
    <x v="0"/>
    <x v="8"/>
    <s v="T7"/>
    <x v="35"/>
    <n v="0"/>
    <n v="0.01"/>
    <n v="0"/>
    <n v="14.6678"/>
    <n v="14.6678"/>
    <n v="0"/>
    <n v="1.666666666666667E-3"/>
    <n v="2.0016666666666669"/>
    <x v="1"/>
  </r>
  <r>
    <x v="1"/>
    <x v="1"/>
    <x v="18"/>
    <s v="CMTA04"/>
    <x v="34"/>
    <n v="0"/>
    <n v="0.4"/>
    <n v="0"/>
    <n v="8.4678000000000004"/>
    <n v="28"/>
    <n v="0"/>
    <n v="3.6363636363636369E-2"/>
    <n v="56.363636363636367"/>
    <x v="1"/>
  </r>
  <r>
    <x v="1"/>
    <x v="0"/>
    <x v="17"/>
    <s v="CMTA02"/>
    <x v="35"/>
    <n v="0"/>
    <n v="3.15"/>
    <n v="1"/>
    <n v="20.816700000000001"/>
    <n v="44"/>
    <n v="0"/>
    <n v="0.35"/>
    <n v="420.35"/>
    <x v="1"/>
  </r>
  <r>
    <x v="1"/>
    <x v="1"/>
    <x v="18"/>
    <s v="CMTA04"/>
    <x v="32"/>
    <n v="0"/>
    <n v="48.06"/>
    <n v="1"/>
    <n v="42.184399999999997"/>
    <n v="113.3424"/>
    <n v="0"/>
    <n v="4.3690909090909091"/>
    <n v="6772.090909090909"/>
    <x v="0"/>
  </r>
  <r>
    <x v="1"/>
    <x v="1"/>
    <x v="18"/>
    <s v="CMTA04"/>
    <x v="35"/>
    <n v="0"/>
    <n v="0.41"/>
    <n v="0"/>
    <n v="7.1322999999999999"/>
    <n v="26.9999"/>
    <n v="0"/>
    <n v="3.727272727272727E-2"/>
    <n v="57.772727272727273"/>
    <x v="1"/>
  </r>
  <r>
    <x v="1"/>
    <x v="1"/>
    <x v="19"/>
    <s v="CMTA05"/>
    <x v="32"/>
    <n v="0"/>
    <n v="39.36"/>
    <n v="1"/>
    <n v="20.974499999999999"/>
    <n v="71.320499999999996"/>
    <n v="0"/>
    <n v="3.5781818181818181"/>
    <n v="5546.181818181818"/>
    <x v="0"/>
  </r>
  <r>
    <x v="1"/>
    <x v="1"/>
    <x v="16"/>
    <s v="CMTA03"/>
    <x v="32"/>
    <n v="0"/>
    <n v="98.13"/>
    <n v="1"/>
    <n v="39.476999999999997"/>
    <n v="111"/>
    <n v="0"/>
    <n v="8.92090909090909"/>
    <n v="13827.40909090909"/>
    <x v="0"/>
  </r>
  <r>
    <x v="1"/>
    <x v="0"/>
    <x v="17"/>
    <s v="CMTA02"/>
    <x v="32"/>
    <n v="0"/>
    <n v="33.380000000000003"/>
    <n v="1"/>
    <n v="22.212599999999998"/>
    <n v="79"/>
    <n v="0"/>
    <n v="3.7088888888888891"/>
    <n v="4454.3755555555563"/>
    <x v="0"/>
  </r>
  <r>
    <x v="1"/>
    <x v="1"/>
    <x v="16"/>
    <s v="CMTA03"/>
    <x v="35"/>
    <n v="0"/>
    <n v="0.03"/>
    <n v="0"/>
    <n v="5.9909999999999997"/>
    <n v="10.3156"/>
    <n v="0"/>
    <n v="2.7272727272727271E-3"/>
    <n v="4.2272727272727266"/>
    <x v="1"/>
  </r>
  <r>
    <x v="0"/>
    <x v="0"/>
    <x v="8"/>
    <s v="T7"/>
    <x v="36"/>
    <n v="5.0861000000000001"/>
    <n v="12.08"/>
    <n v="1"/>
    <n v="5.1440000000000001"/>
    <n v="26.1873"/>
    <n v="0.64"/>
    <n v="2.0133333333333332"/>
    <n v="2418.0133333333329"/>
    <x v="0"/>
  </r>
  <r>
    <x v="0"/>
    <x v="0"/>
    <x v="20"/>
    <s v="T8"/>
    <x v="36"/>
    <n v="4.2964000000000002"/>
    <n v="15.95"/>
    <n v="1"/>
    <n v="5.7736000000000001"/>
    <n v="68.135099999999994"/>
    <n v="0.54"/>
    <n v="2.6583333333333332"/>
    <n v="3192.6583333333328"/>
    <x v="0"/>
  </r>
  <r>
    <x v="1"/>
    <x v="0"/>
    <x v="14"/>
    <s v="CMTA08"/>
    <x v="36"/>
    <n v="3.9483000000000001"/>
    <n v="97.3"/>
    <n v="1"/>
    <n v="29.484300000000001"/>
    <n v="123"/>
    <n v="0.49"/>
    <n v="10.81111111111111"/>
    <n v="12984.144444444441"/>
    <x v="0"/>
  </r>
  <r>
    <x v="1"/>
    <x v="0"/>
    <x v="10"/>
    <s v="CMTA07"/>
    <x v="36"/>
    <n v="3.6705999999999999"/>
    <n v="153.09"/>
    <n v="1"/>
    <n v="46.548000000000002"/>
    <n v="165.25399999999999"/>
    <n v="0.46"/>
    <n v="17.010000000000002"/>
    <n v="20429.009999999998"/>
    <x v="0"/>
  </r>
  <r>
    <x v="1"/>
    <x v="0"/>
    <x v="12"/>
    <s v="CMTA10"/>
    <x v="36"/>
    <n v="3.6217000000000001"/>
    <n v="44.01"/>
    <n v="1"/>
    <n v="15.4505"/>
    <n v="198.81219999999999"/>
    <n v="0.45"/>
    <n v="4.8899999999999997"/>
    <n v="5872.8899999999994"/>
    <x v="0"/>
  </r>
  <r>
    <x v="0"/>
    <x v="0"/>
    <x v="0"/>
    <s v="T4"/>
    <x v="36"/>
    <n v="3.3706"/>
    <n v="13.31"/>
    <n v="1"/>
    <n v="5.5854999999999997"/>
    <n v="65.301500000000004"/>
    <n v="0.42"/>
    <n v="2.2183333333333328"/>
    <n v="2664.2183333333328"/>
    <x v="0"/>
  </r>
  <r>
    <x v="1"/>
    <x v="0"/>
    <x v="11"/>
    <s v="CMTA11"/>
    <x v="36"/>
    <n v="3.3281000000000001"/>
    <n v="143.05000000000001"/>
    <n v="1"/>
    <n v="47.804699999999997"/>
    <n v="194.9786"/>
    <n v="0.42"/>
    <n v="15.894444444444449"/>
    <n v="19089.227777777782"/>
    <x v="0"/>
  </r>
  <r>
    <x v="1"/>
    <x v="0"/>
    <x v="7"/>
    <s v="CMTA01"/>
    <x v="36"/>
    <n v="2.5649999999999999"/>
    <n v="27.11"/>
    <n v="1"/>
    <n v="13.8933"/>
    <n v="52.541200000000003"/>
    <n v="0.32"/>
    <n v="3.0122222222222219"/>
    <n v="3617.6788888888891"/>
    <x v="0"/>
  </r>
  <r>
    <x v="0"/>
    <x v="0"/>
    <x v="21"/>
    <s v="T11"/>
    <x v="36"/>
    <n v="0.55669999999999997"/>
    <n v="5.56"/>
    <n v="1"/>
    <n v="9.3473000000000006"/>
    <n v="24.446400000000001"/>
    <n v="7.0000000000000007E-2"/>
    <n v="0.92666666666666664"/>
    <n v="1112.926666666667"/>
    <x v="0"/>
  </r>
  <r>
    <x v="0"/>
    <x v="0"/>
    <x v="2"/>
    <s v="T13"/>
    <x v="36"/>
    <n v="7.4200000000000002E-2"/>
    <n v="7.0000000000000007E-2"/>
    <n v="0"/>
    <n v="2.4847000000000001"/>
    <n v="12.204700000000001"/>
    <n v="0.01"/>
    <n v="1.1666666666666671E-2"/>
    <n v="14.01166666666667"/>
    <x v="0"/>
  </r>
  <r>
    <x v="0"/>
    <x v="0"/>
    <x v="15"/>
    <s v="T9"/>
    <x v="36"/>
    <n v="2.69E-2"/>
    <n v="0.15"/>
    <n v="0"/>
    <n v="4.2569999999999997"/>
    <n v="14.204800000000001"/>
    <n v="0"/>
    <n v="2.5000000000000001E-2"/>
    <n v="30.024999999999999"/>
    <x v="0"/>
  </r>
  <r>
    <x v="0"/>
    <x v="0"/>
    <x v="1"/>
    <s v="T14"/>
    <x v="36"/>
    <n v="2.5000000000000001E-3"/>
    <n v="0"/>
    <n v="0"/>
    <n v="0"/>
    <n v="0"/>
    <n v="0"/>
    <n v="0"/>
    <n v="0"/>
    <x v="0"/>
  </r>
  <r>
    <x v="1"/>
    <x v="1"/>
    <x v="19"/>
    <s v="CMTA05"/>
    <x v="36"/>
    <n v="0"/>
    <n v="22.56"/>
    <n v="1"/>
    <n v="13.388"/>
    <n v="34.169400000000003"/>
    <n v="0"/>
    <n v="2.0509090909090908"/>
    <n v="3178.909090909091"/>
    <x v="0"/>
  </r>
  <r>
    <x v="1"/>
    <x v="1"/>
    <x v="16"/>
    <s v="CMTA03"/>
    <x v="36"/>
    <n v="0"/>
    <n v="40.79"/>
    <n v="1"/>
    <n v="33.586500000000001"/>
    <n v="95"/>
    <n v="0"/>
    <n v="3.708181818181818"/>
    <n v="5747.681818181818"/>
    <x v="0"/>
  </r>
  <r>
    <x v="0"/>
    <x v="0"/>
    <x v="6"/>
    <s v="T12"/>
    <x v="36"/>
    <n v="0"/>
    <n v="0.04"/>
    <n v="0"/>
    <n v="7.5346000000000002"/>
    <n v="16.167999999999999"/>
    <n v="0"/>
    <n v="6.6666666666666671E-3"/>
    <n v="8.0066666666666677"/>
    <x v="0"/>
  </r>
  <r>
    <x v="1"/>
    <x v="0"/>
    <x v="17"/>
    <s v="CMTA02"/>
    <x v="36"/>
    <n v="0"/>
    <n v="96.23"/>
    <n v="1"/>
    <n v="28.648399999999999"/>
    <n v="114.0001"/>
    <n v="0"/>
    <n v="10.69222222222222"/>
    <n v="12841.35888888889"/>
    <x v="0"/>
  </r>
  <r>
    <x v="1"/>
    <x v="1"/>
    <x v="18"/>
    <s v="CMTA04"/>
    <x v="36"/>
    <n v="0"/>
    <n v="70.599999999999994"/>
    <n v="1"/>
    <n v="27.285299999999999"/>
    <n v="105.0454"/>
    <n v="0"/>
    <n v="6.418181818181818"/>
    <n v="9948.181818181818"/>
    <x v="0"/>
  </r>
  <r>
    <x v="0"/>
    <x v="0"/>
    <x v="8"/>
    <s v="T7"/>
    <x v="37"/>
    <n v="15.4886"/>
    <n v="9.2899999999999991"/>
    <n v="1"/>
    <n v="4.4801000000000002"/>
    <n v="21.149799999999999"/>
    <n v="1.94"/>
    <n v="1.5483333333333329"/>
    <n v="1859.5483333333329"/>
    <x v="0"/>
  </r>
  <r>
    <x v="0"/>
    <x v="0"/>
    <x v="8"/>
    <s v="T7"/>
    <x v="38"/>
    <n v="8.7847000000000008"/>
    <n v="24.64"/>
    <n v="1"/>
    <n v="4.9686000000000003"/>
    <n v="17.7607"/>
    <n v="1.1000000000000001"/>
    <n v="4.1066666666666656"/>
    <n v="4932.1066666666666"/>
    <x v="0"/>
  </r>
  <r>
    <x v="1"/>
    <x v="0"/>
    <x v="11"/>
    <s v="CMTA11"/>
    <x v="39"/>
    <n v="7.1764000000000001"/>
    <n v="11.43"/>
    <n v="1"/>
    <n v="14.040800000000001"/>
    <n v="36.299199999999999"/>
    <n v="0.9"/>
    <n v="1.27"/>
    <n v="1525.27"/>
    <x v="0"/>
  </r>
  <r>
    <x v="1"/>
    <x v="0"/>
    <x v="11"/>
    <s v="CMTA11"/>
    <x v="40"/>
    <n v="6.9749999999999996"/>
    <n v="32.94"/>
    <n v="1"/>
    <n v="24.765799999999999"/>
    <n v="77"/>
    <n v="0.87"/>
    <n v="3.66"/>
    <n v="4395.66"/>
    <x v="0"/>
  </r>
  <r>
    <x v="1"/>
    <x v="0"/>
    <x v="11"/>
    <s v="CMTA11"/>
    <x v="41"/>
    <n v="4.3952999999999998"/>
    <n v="141.66"/>
    <n v="1"/>
    <n v="46.548999999999999"/>
    <n v="151.53059999999999"/>
    <n v="0.55000000000000004"/>
    <n v="15.74"/>
    <n v="18903.740000000002"/>
    <x v="0"/>
  </r>
  <r>
    <x v="0"/>
    <x v="0"/>
    <x v="8"/>
    <s v="T7"/>
    <x v="40"/>
    <n v="3.585"/>
    <n v="4.88"/>
    <n v="1"/>
    <n v="5.4916999999999998"/>
    <n v="15.316000000000001"/>
    <n v="0.45"/>
    <n v="0.81333333333333335"/>
    <n v="976.81333333333339"/>
    <x v="0"/>
  </r>
  <r>
    <x v="0"/>
    <x v="0"/>
    <x v="8"/>
    <s v="T7"/>
    <x v="41"/>
    <n v="3.4430999999999998"/>
    <n v="1.26"/>
    <n v="1"/>
    <n v="4.5754999999999999"/>
    <n v="25.131599999999999"/>
    <n v="0.43"/>
    <n v="0.21"/>
    <n v="252.21"/>
    <x v="0"/>
  </r>
  <r>
    <x v="1"/>
    <x v="0"/>
    <x v="12"/>
    <s v="CMTA10"/>
    <x v="38"/>
    <n v="3.4161000000000001"/>
    <n v="45.24"/>
    <n v="1"/>
    <n v="19.351700000000001"/>
    <n v="77"/>
    <n v="0.43"/>
    <n v="5.0266666666666673"/>
    <n v="6037.0266666666676"/>
    <x v="0"/>
  </r>
  <r>
    <x v="0"/>
    <x v="0"/>
    <x v="0"/>
    <s v="T4"/>
    <x v="38"/>
    <n v="3.4125000000000001"/>
    <n v="14.53"/>
    <n v="1"/>
    <n v="5.9309000000000003"/>
    <n v="26.9999"/>
    <n v="0.43"/>
    <n v="2.421666666666666"/>
    <n v="2908.4216666666662"/>
    <x v="0"/>
  </r>
  <r>
    <x v="0"/>
    <x v="0"/>
    <x v="2"/>
    <s v="T13"/>
    <x v="41"/>
    <n v="3.3372000000000002"/>
    <n v="9.93"/>
    <n v="1"/>
    <n v="5.0453000000000001"/>
    <n v="20.835000000000001"/>
    <n v="0.42"/>
    <n v="1.655"/>
    <n v="1987.655"/>
    <x v="0"/>
  </r>
  <r>
    <x v="1"/>
    <x v="0"/>
    <x v="14"/>
    <s v="CMTA08"/>
    <x v="38"/>
    <n v="3.1093999999999999"/>
    <n v="92.01"/>
    <n v="1"/>
    <n v="34.492199999999997"/>
    <n v="140.0001"/>
    <n v="0.39"/>
    <n v="10.223333333333329"/>
    <n v="12278.223333333341"/>
    <x v="0"/>
  </r>
  <r>
    <x v="1"/>
    <x v="0"/>
    <x v="10"/>
    <s v="CMTA07"/>
    <x v="38"/>
    <n v="3.0242"/>
    <n v="105.15"/>
    <n v="1"/>
    <n v="42.231200000000001"/>
    <n v="137"/>
    <n v="0.38"/>
    <n v="11.68333333333333"/>
    <n v="14031.683333333331"/>
    <x v="0"/>
  </r>
  <r>
    <x v="1"/>
    <x v="0"/>
    <x v="14"/>
    <s v="CMTA08"/>
    <x v="40"/>
    <n v="2.9106000000000001"/>
    <n v="102.64"/>
    <n v="1"/>
    <n v="39.1038"/>
    <n v="121.0001"/>
    <n v="0.36"/>
    <n v="11.40444444444444"/>
    <n v="13696.73777777778"/>
    <x v="0"/>
  </r>
  <r>
    <x v="1"/>
    <x v="0"/>
    <x v="11"/>
    <s v="CMTA11"/>
    <x v="38"/>
    <n v="2.8956"/>
    <n v="28.13"/>
    <n v="1"/>
    <n v="13.2989"/>
    <n v="32.095199999999998"/>
    <n v="0.36"/>
    <n v="3.1255555555555561"/>
    <n v="3753.7922222222219"/>
    <x v="0"/>
  </r>
  <r>
    <x v="0"/>
    <x v="0"/>
    <x v="8"/>
    <s v="T7"/>
    <x v="39"/>
    <n v="2.8933"/>
    <n v="4.54"/>
    <n v="1"/>
    <n v="5.0457000000000001"/>
    <n v="19"/>
    <n v="0.36"/>
    <n v="0.75666666666666671"/>
    <n v="908.75666666666677"/>
    <x v="0"/>
  </r>
  <r>
    <x v="1"/>
    <x v="0"/>
    <x v="7"/>
    <s v="CMTA01"/>
    <x v="41"/>
    <n v="2.8028"/>
    <n v="34.67"/>
    <n v="1"/>
    <n v="17.1905"/>
    <n v="71.635400000000004"/>
    <n v="0.35"/>
    <n v="3.8522222222222222"/>
    <n v="4626.5188888888888"/>
    <x v="0"/>
  </r>
  <r>
    <x v="1"/>
    <x v="0"/>
    <x v="7"/>
    <s v="CMTA01"/>
    <x v="38"/>
    <n v="2.6522000000000001"/>
    <n v="38.020000000000003"/>
    <n v="1"/>
    <n v="17.8066"/>
    <n v="97.211500000000001"/>
    <n v="0.33"/>
    <n v="4.2244444444444449"/>
    <n v="5073.557777777778"/>
    <x v="0"/>
  </r>
  <r>
    <x v="1"/>
    <x v="0"/>
    <x v="12"/>
    <s v="CMTA10"/>
    <x v="41"/>
    <n v="2.6143999999999998"/>
    <n v="43.18"/>
    <n v="1"/>
    <n v="18.336400000000001"/>
    <n v="92"/>
    <n v="0.33"/>
    <n v="4.7977777777777781"/>
    <n v="5762.1311111111117"/>
    <x v="0"/>
  </r>
  <r>
    <x v="0"/>
    <x v="0"/>
    <x v="20"/>
    <s v="T8"/>
    <x v="40"/>
    <n v="2.4016999999999999"/>
    <n v="9.69"/>
    <n v="1"/>
    <n v="6.0552999999999999"/>
    <n v="67.116500000000002"/>
    <n v="0.3"/>
    <n v="1.615"/>
    <n v="1939.615"/>
    <x v="0"/>
  </r>
  <r>
    <x v="1"/>
    <x v="0"/>
    <x v="12"/>
    <s v="CMTA10"/>
    <x v="39"/>
    <n v="2.3378000000000001"/>
    <n v="32.1"/>
    <n v="1"/>
    <n v="18.55"/>
    <n v="137.6592"/>
    <n v="0.28999999999999998"/>
    <n v="3.5666666666666669"/>
    <n v="4283.5666666666666"/>
    <x v="0"/>
  </r>
  <r>
    <x v="1"/>
    <x v="0"/>
    <x v="11"/>
    <s v="CMTA11"/>
    <x v="37"/>
    <n v="2.2019000000000002"/>
    <n v="21.09"/>
    <n v="1"/>
    <n v="13.2979"/>
    <n v="54.578400000000002"/>
    <n v="0.28000000000000003"/>
    <n v="2.3433333333333328"/>
    <n v="2814.3433333333328"/>
    <x v="0"/>
  </r>
  <r>
    <x v="0"/>
    <x v="0"/>
    <x v="0"/>
    <s v="T4"/>
    <x v="39"/>
    <n v="2.1019000000000001"/>
    <n v="7.19"/>
    <n v="1"/>
    <n v="5.8436000000000003"/>
    <n v="69.135199999999998"/>
    <n v="0.26"/>
    <n v="1.198333333333333"/>
    <n v="1439.198333333333"/>
    <x v="0"/>
  </r>
  <r>
    <x v="1"/>
    <x v="0"/>
    <x v="12"/>
    <s v="CMTA10"/>
    <x v="40"/>
    <n v="2.0758000000000001"/>
    <n v="27.9"/>
    <n v="1"/>
    <n v="15.5566"/>
    <n v="72"/>
    <n v="0.26"/>
    <n v="3.1"/>
    <n v="3723.099999999999"/>
    <x v="0"/>
  </r>
  <r>
    <x v="0"/>
    <x v="0"/>
    <x v="20"/>
    <s v="T8"/>
    <x v="39"/>
    <n v="2.0747"/>
    <n v="7.56"/>
    <n v="1"/>
    <n v="5.6520999999999999"/>
    <n v="30"/>
    <n v="0.26"/>
    <n v="1.26"/>
    <n v="1513.26"/>
    <x v="0"/>
  </r>
  <r>
    <x v="0"/>
    <x v="0"/>
    <x v="0"/>
    <s v="T4"/>
    <x v="41"/>
    <n v="2.0464000000000002"/>
    <n v="10.69"/>
    <n v="1"/>
    <n v="5.8905000000000003"/>
    <n v="53.856200000000001"/>
    <n v="0.26"/>
    <n v="1.781666666666667"/>
    <n v="2139.7816666666658"/>
    <x v="0"/>
  </r>
  <r>
    <x v="0"/>
    <x v="0"/>
    <x v="0"/>
    <s v="T4"/>
    <x v="40"/>
    <n v="2.0264000000000002"/>
    <n v="6.54"/>
    <n v="1"/>
    <n v="5.6768999999999998"/>
    <n v="66.6905"/>
    <n v="0.25"/>
    <n v="1.0900000000000001"/>
    <n v="1309.0899999999999"/>
    <x v="0"/>
  </r>
  <r>
    <x v="1"/>
    <x v="0"/>
    <x v="7"/>
    <s v="CMTA01"/>
    <x v="42"/>
    <n v="2.0085999999999999"/>
    <n v="55.59"/>
    <n v="1"/>
    <n v="43.710099999999997"/>
    <n v="102.1193"/>
    <n v="0.25"/>
    <n v="6.1766666666666667"/>
    <n v="7418.1766666666672"/>
    <x v="1"/>
  </r>
  <r>
    <x v="1"/>
    <x v="0"/>
    <x v="7"/>
    <s v="CMTA01"/>
    <x v="43"/>
    <n v="1.9128000000000001"/>
    <n v="11.63"/>
    <n v="1"/>
    <n v="44.100200000000001"/>
    <n v="111"/>
    <n v="0.24"/>
    <n v="1.2922222222222219"/>
    <n v="1551.9588888888891"/>
    <x v="1"/>
  </r>
  <r>
    <x v="1"/>
    <x v="0"/>
    <x v="14"/>
    <s v="CMTA08"/>
    <x v="39"/>
    <n v="1.7975000000000001"/>
    <n v="24.56"/>
    <n v="1"/>
    <n v="23.612100000000002"/>
    <n v="121.3801"/>
    <n v="0.22"/>
    <n v="2.7288888888888891"/>
    <n v="3277.3955555555549"/>
    <x v="0"/>
  </r>
  <r>
    <x v="1"/>
    <x v="0"/>
    <x v="14"/>
    <s v="CMTA08"/>
    <x v="37"/>
    <n v="1.6147"/>
    <n v="51.73"/>
    <n v="1"/>
    <n v="41.1038"/>
    <n v="178.6995"/>
    <n v="0.2"/>
    <n v="5.7477777777777774"/>
    <n v="6903.0811111111107"/>
    <x v="0"/>
  </r>
  <r>
    <x v="1"/>
    <x v="0"/>
    <x v="7"/>
    <s v="CMTA01"/>
    <x v="39"/>
    <n v="1.5432999999999999"/>
    <n v="19.72"/>
    <n v="1"/>
    <n v="17.733699999999999"/>
    <n v="194.5711"/>
    <n v="0.19"/>
    <n v="2.1911111111111108"/>
    <n v="2631.5244444444438"/>
    <x v="0"/>
  </r>
  <r>
    <x v="1"/>
    <x v="0"/>
    <x v="12"/>
    <s v="CMTA10"/>
    <x v="37"/>
    <n v="1.5314000000000001"/>
    <n v="25.98"/>
    <n v="1"/>
    <n v="19.584399999999999"/>
    <n v="75.950500000000005"/>
    <n v="0.19"/>
    <n v="2.8866666666666672"/>
    <n v="3466.8866666666672"/>
    <x v="0"/>
  </r>
  <r>
    <x v="0"/>
    <x v="0"/>
    <x v="1"/>
    <s v="T14"/>
    <x v="38"/>
    <n v="1.5253000000000001"/>
    <n v="3.28"/>
    <n v="1"/>
    <n v="6.2435"/>
    <n v="66.727599999999995"/>
    <n v="0.19"/>
    <n v="0.54666666666666663"/>
    <n v="656.54666666666662"/>
    <x v="0"/>
  </r>
  <r>
    <x v="0"/>
    <x v="0"/>
    <x v="0"/>
    <s v="T4"/>
    <x v="37"/>
    <n v="1.4269000000000001"/>
    <n v="11.66"/>
    <n v="1"/>
    <n v="9.0714000000000006"/>
    <n v="29.261600000000001"/>
    <n v="0.18"/>
    <n v="1.9433333333333329"/>
    <n v="2333.9433333333332"/>
    <x v="0"/>
  </r>
  <r>
    <x v="1"/>
    <x v="0"/>
    <x v="7"/>
    <s v="CMTA01"/>
    <x v="40"/>
    <n v="1.3661000000000001"/>
    <n v="25.09"/>
    <n v="1"/>
    <n v="25.378399999999999"/>
    <n v="100.434"/>
    <n v="0.17"/>
    <n v="2.7877777777777779"/>
    <n v="3348.1211111111111"/>
    <x v="0"/>
  </r>
  <r>
    <x v="1"/>
    <x v="0"/>
    <x v="10"/>
    <s v="CMTA07"/>
    <x v="37"/>
    <n v="1.3283"/>
    <n v="4.67"/>
    <n v="1"/>
    <n v="17.007899999999999"/>
    <n v="89.000100000000003"/>
    <n v="0.17"/>
    <n v="0.51888888888888884"/>
    <n v="623.18555555555554"/>
    <x v="0"/>
  </r>
  <r>
    <x v="0"/>
    <x v="0"/>
    <x v="20"/>
    <s v="T8"/>
    <x v="37"/>
    <n v="1.1808000000000001"/>
    <n v="3.45"/>
    <n v="1"/>
    <n v="5.2920999999999996"/>
    <n v="22.5944"/>
    <n v="0.15"/>
    <n v="0.57500000000000007"/>
    <n v="690.57500000000005"/>
    <x v="0"/>
  </r>
  <r>
    <x v="1"/>
    <x v="0"/>
    <x v="14"/>
    <s v="CMTA08"/>
    <x v="41"/>
    <n v="1.1247"/>
    <n v="28.17"/>
    <n v="1"/>
    <n v="29.254999999999999"/>
    <n v="93"/>
    <n v="0.14000000000000001"/>
    <n v="3.13"/>
    <n v="3759.130000000001"/>
    <x v="0"/>
  </r>
  <r>
    <x v="0"/>
    <x v="0"/>
    <x v="2"/>
    <s v="T13"/>
    <x v="38"/>
    <n v="1.1103000000000001"/>
    <n v="2.85"/>
    <n v="1"/>
    <n v="4.5231000000000003"/>
    <n v="21.631399999999999"/>
    <n v="0.14000000000000001"/>
    <n v="0.47499999999999998"/>
    <n v="570.47500000000002"/>
    <x v="0"/>
  </r>
  <r>
    <x v="1"/>
    <x v="0"/>
    <x v="10"/>
    <s v="CMTA07"/>
    <x v="39"/>
    <n v="0.86470000000000002"/>
    <n v="0.18"/>
    <n v="0"/>
    <n v="5.2885"/>
    <n v="23.4834"/>
    <n v="0.11"/>
    <n v="0.02"/>
    <n v="24.02"/>
    <x v="0"/>
  </r>
  <r>
    <x v="1"/>
    <x v="0"/>
    <x v="7"/>
    <s v="CMTA01"/>
    <x v="37"/>
    <n v="0.34499999999999997"/>
    <n v="4.25"/>
    <n v="1"/>
    <n v="13.4323"/>
    <n v="92.192599999999999"/>
    <n v="0.04"/>
    <n v="0.47222222222222221"/>
    <n v="567.13888888888891"/>
    <x v="0"/>
  </r>
  <r>
    <x v="0"/>
    <x v="0"/>
    <x v="21"/>
    <s v="T11"/>
    <x v="41"/>
    <n v="0.2994"/>
    <n v="3.69"/>
    <n v="1"/>
    <n v="7.8494999999999999"/>
    <n v="17.482900000000001"/>
    <n v="0.04"/>
    <n v="0.61499999999999999"/>
    <n v="738.61500000000001"/>
    <x v="0"/>
  </r>
  <r>
    <x v="0"/>
    <x v="0"/>
    <x v="21"/>
    <s v="T11"/>
    <x v="37"/>
    <n v="0.2878"/>
    <n v="6.82"/>
    <n v="1"/>
    <n v="6.9926000000000004"/>
    <n v="15.316000000000001"/>
    <n v="0.04"/>
    <n v="1.1366666666666669"/>
    <n v="1365.136666666667"/>
    <x v="0"/>
  </r>
  <r>
    <x v="0"/>
    <x v="0"/>
    <x v="6"/>
    <s v="T12"/>
    <x v="41"/>
    <n v="0.1678"/>
    <n v="0.1"/>
    <n v="0"/>
    <n v="5.2812999999999999"/>
    <n v="27.724399999999999"/>
    <n v="0.02"/>
    <n v="1.666666666666667E-2"/>
    <n v="20.016666666666669"/>
    <x v="0"/>
  </r>
  <r>
    <x v="0"/>
    <x v="0"/>
    <x v="1"/>
    <s v="T14"/>
    <x v="39"/>
    <n v="0.1303"/>
    <n v="1.54"/>
    <n v="1"/>
    <n v="11.861700000000001"/>
    <n v="22.427700000000002"/>
    <n v="0.02"/>
    <n v="0.25666666666666671"/>
    <n v="308.25666666666672"/>
    <x v="0"/>
  </r>
  <r>
    <x v="0"/>
    <x v="0"/>
    <x v="15"/>
    <s v="T9"/>
    <x v="38"/>
    <n v="5.33E-2"/>
    <n v="0.01"/>
    <n v="0"/>
    <n v="8.0562000000000005"/>
    <n v="8.0562000000000005"/>
    <n v="0.01"/>
    <n v="1.666666666666667E-3"/>
    <n v="2.0016666666666669"/>
    <x v="0"/>
  </r>
  <r>
    <x v="0"/>
    <x v="0"/>
    <x v="9"/>
    <s v="T6"/>
    <x v="41"/>
    <n v="3.6700000000000003E-2"/>
    <n v="0.01"/>
    <n v="0"/>
    <n v="0"/>
    <n v="0"/>
    <n v="0"/>
    <n v="1.666666666666667E-3"/>
    <n v="2.0016666666666669"/>
    <x v="0"/>
  </r>
  <r>
    <x v="0"/>
    <x v="0"/>
    <x v="15"/>
    <s v="T9"/>
    <x v="39"/>
    <n v="2.81E-2"/>
    <n v="0.09"/>
    <n v="0"/>
    <n v="3.5775000000000001"/>
    <n v="14.427099999999999"/>
    <n v="0"/>
    <n v="1.4999999999999999E-2"/>
    <n v="18.015000000000001"/>
    <x v="0"/>
  </r>
  <r>
    <x v="0"/>
    <x v="0"/>
    <x v="15"/>
    <s v="T9"/>
    <x v="41"/>
    <n v="2.69E-2"/>
    <n v="0.27"/>
    <n v="0"/>
    <n v="10.743399999999999"/>
    <n v="99.119"/>
    <n v="0"/>
    <n v="4.5000000000000012E-2"/>
    <n v="54.045000000000009"/>
    <x v="0"/>
  </r>
  <r>
    <x v="0"/>
    <x v="0"/>
    <x v="2"/>
    <s v="T13"/>
    <x v="39"/>
    <n v="1.5800000000000002E-2"/>
    <n v="0.12"/>
    <n v="0"/>
    <n v="6.1896000000000004"/>
    <n v="16.945799999999998"/>
    <n v="0"/>
    <n v="0.02"/>
    <n v="24.02"/>
    <x v="0"/>
  </r>
  <r>
    <x v="0"/>
    <x v="0"/>
    <x v="2"/>
    <s v="T13"/>
    <x v="37"/>
    <n v="4.7000000000000002E-3"/>
    <n v="0.18"/>
    <n v="0"/>
    <n v="5.7523"/>
    <n v="15"/>
    <n v="0"/>
    <n v="0.03"/>
    <n v="36.03"/>
    <x v="0"/>
  </r>
  <r>
    <x v="1"/>
    <x v="1"/>
    <x v="16"/>
    <s v="CMTA03"/>
    <x v="37"/>
    <n v="0"/>
    <n v="148.21"/>
    <n v="1"/>
    <n v="37.447499999999998"/>
    <n v="117.0001"/>
    <n v="0"/>
    <n v="13.473636363636359"/>
    <n v="20884.13636363636"/>
    <x v="0"/>
  </r>
  <r>
    <x v="1"/>
    <x v="0"/>
    <x v="10"/>
    <s v="CMTA07"/>
    <x v="41"/>
    <n v="0"/>
    <n v="0.02"/>
    <n v="0"/>
    <n v="26.2058"/>
    <n v="26.2058"/>
    <n v="0"/>
    <n v="2.2222222222222218E-3"/>
    <n v="2.6688888888888891"/>
    <x v="0"/>
  </r>
  <r>
    <x v="1"/>
    <x v="1"/>
    <x v="18"/>
    <s v="CMTA04"/>
    <x v="38"/>
    <n v="0"/>
    <n v="55.57"/>
    <n v="1"/>
    <n v="27.774100000000001"/>
    <n v="80.000100000000003"/>
    <n v="0"/>
    <n v="5.0518181818181818"/>
    <n v="7830.318181818182"/>
    <x v="0"/>
  </r>
  <r>
    <x v="1"/>
    <x v="1"/>
    <x v="18"/>
    <s v="CMTA04"/>
    <x v="40"/>
    <n v="0"/>
    <n v="93.2"/>
    <n v="1"/>
    <n v="42.945099999999996"/>
    <n v="117.0001"/>
    <n v="0"/>
    <n v="8.4727272727272727"/>
    <n v="13132.72727272727"/>
    <x v="0"/>
  </r>
  <r>
    <x v="1"/>
    <x v="1"/>
    <x v="16"/>
    <s v="CMTA03"/>
    <x v="38"/>
    <n v="0"/>
    <n v="40.630000000000003"/>
    <n v="1"/>
    <n v="34.913699999999999"/>
    <n v="99"/>
    <n v="0"/>
    <n v="3.6936363636363638"/>
    <n v="5725.136363636364"/>
    <x v="0"/>
  </r>
  <r>
    <x v="1"/>
    <x v="1"/>
    <x v="16"/>
    <s v="CMTA03"/>
    <x v="41"/>
    <n v="0"/>
    <n v="77.459999999999994"/>
    <n v="1"/>
    <n v="33.8155"/>
    <n v="110.0001"/>
    <n v="0"/>
    <n v="7.0418181818181811"/>
    <n v="10914.81818181818"/>
    <x v="0"/>
  </r>
  <r>
    <x v="0"/>
    <x v="0"/>
    <x v="0"/>
    <s v="T4"/>
    <x v="43"/>
    <n v="0"/>
    <n v="0.01"/>
    <n v="0"/>
    <n v="11.1305"/>
    <n v="11.1305"/>
    <n v="0"/>
    <n v="1.666666666666667E-3"/>
    <n v="2.0016666666666669"/>
    <x v="1"/>
  </r>
  <r>
    <x v="1"/>
    <x v="0"/>
    <x v="17"/>
    <s v="CMTA02"/>
    <x v="38"/>
    <n v="0"/>
    <n v="97.18"/>
    <n v="1"/>
    <n v="31.430099999999999"/>
    <n v="104.9714"/>
    <n v="0"/>
    <n v="10.79777777777778"/>
    <n v="12968.13111111111"/>
    <x v="0"/>
  </r>
  <r>
    <x v="1"/>
    <x v="0"/>
    <x v="17"/>
    <s v="CMTA02"/>
    <x v="37"/>
    <n v="0"/>
    <n v="65.989999999999995"/>
    <n v="1"/>
    <n v="31.479500000000002"/>
    <n v="84.999899999999997"/>
    <n v="0"/>
    <n v="7.3322222222222218"/>
    <n v="8805.9988888888874"/>
    <x v="0"/>
  </r>
  <r>
    <x v="1"/>
    <x v="1"/>
    <x v="18"/>
    <s v="CMTA04"/>
    <x v="41"/>
    <n v="0"/>
    <n v="42.53"/>
    <n v="1"/>
    <n v="21.387699999999999"/>
    <n v="99"/>
    <n v="0"/>
    <n v="3.8663636363636371"/>
    <n v="5992.8636363636369"/>
    <x v="0"/>
  </r>
  <r>
    <x v="1"/>
    <x v="0"/>
    <x v="17"/>
    <s v="CMTA02"/>
    <x v="39"/>
    <n v="0"/>
    <n v="107.77"/>
    <n v="1"/>
    <n v="32.175199999999997"/>
    <n v="104"/>
    <n v="0"/>
    <n v="11.97444444444444"/>
    <n v="14381.30777777778"/>
    <x v="0"/>
  </r>
  <r>
    <x v="1"/>
    <x v="1"/>
    <x v="19"/>
    <s v="CMTA05"/>
    <x v="39"/>
    <n v="0"/>
    <n v="21.67"/>
    <n v="1"/>
    <n v="11.4491"/>
    <n v="41.021799999999999"/>
    <n v="0"/>
    <n v="1.97"/>
    <n v="3053.5"/>
    <x v="0"/>
  </r>
  <r>
    <x v="1"/>
    <x v="1"/>
    <x v="16"/>
    <s v="CMTA03"/>
    <x v="42"/>
    <n v="0"/>
    <n v="21.62"/>
    <n v="1"/>
    <n v="26.377400000000002"/>
    <n v="85.655000000000001"/>
    <n v="0"/>
    <n v="1.965454545454546"/>
    <n v="3046.454545454545"/>
    <x v="1"/>
  </r>
  <r>
    <x v="1"/>
    <x v="1"/>
    <x v="18"/>
    <s v="CMTA04"/>
    <x v="42"/>
    <n v="0"/>
    <n v="0.01"/>
    <n v="0"/>
    <n v="13.815899999999999"/>
    <n v="13.815899999999999"/>
    <n v="0"/>
    <n v="9.0909090909090909E-4"/>
    <n v="1.4090909090909089"/>
    <x v="1"/>
  </r>
  <r>
    <x v="1"/>
    <x v="1"/>
    <x v="18"/>
    <s v="CMTA04"/>
    <x v="39"/>
    <n v="0"/>
    <n v="12.05"/>
    <n v="1"/>
    <n v="18.047699999999999"/>
    <n v="69.9315"/>
    <n v="0"/>
    <n v="1.095454545454545"/>
    <n v="1697.954545454545"/>
    <x v="0"/>
  </r>
  <r>
    <x v="1"/>
    <x v="1"/>
    <x v="19"/>
    <s v="CMTA05"/>
    <x v="38"/>
    <n v="0"/>
    <n v="61.59"/>
    <n v="1"/>
    <n v="20.717099999999999"/>
    <n v="90"/>
    <n v="0"/>
    <n v="5.5990909090909096"/>
    <n v="8678.5909090909099"/>
    <x v="0"/>
  </r>
  <r>
    <x v="1"/>
    <x v="1"/>
    <x v="19"/>
    <s v="CMTA05"/>
    <x v="37"/>
    <n v="0"/>
    <n v="15.66"/>
    <n v="1"/>
    <n v="10.703200000000001"/>
    <n v="36.000100000000003"/>
    <n v="0"/>
    <n v="1.423636363636364"/>
    <n v="2206.636363636364"/>
    <x v="0"/>
  </r>
  <r>
    <x v="1"/>
    <x v="1"/>
    <x v="18"/>
    <s v="CMTA04"/>
    <x v="43"/>
    <n v="0"/>
    <n v="11.39"/>
    <n v="1"/>
    <n v="30.790299999999998"/>
    <n v="68.000100000000003"/>
    <n v="0"/>
    <n v="1.035454545454545"/>
    <n v="1604.954545454545"/>
    <x v="1"/>
  </r>
  <r>
    <x v="1"/>
    <x v="1"/>
    <x v="16"/>
    <s v="CMTA03"/>
    <x v="43"/>
    <n v="0"/>
    <n v="59.87"/>
    <n v="1"/>
    <n v="36.576599999999999"/>
    <n v="110.0001"/>
    <n v="0"/>
    <n v="5.4427272727272724"/>
    <n v="8436.2272727272721"/>
    <x v="1"/>
  </r>
  <r>
    <x v="1"/>
    <x v="1"/>
    <x v="16"/>
    <s v="CMTA03"/>
    <x v="39"/>
    <n v="0"/>
    <n v="40.49"/>
    <n v="1"/>
    <n v="39.633499999999998"/>
    <n v="99"/>
    <n v="0"/>
    <n v="3.6809090909090911"/>
    <n v="5705.409090909091"/>
    <x v="0"/>
  </r>
  <r>
    <x v="1"/>
    <x v="1"/>
    <x v="18"/>
    <s v="CMTA04"/>
    <x v="37"/>
    <n v="0"/>
    <n v="14.41"/>
    <n v="1"/>
    <n v="21.496300000000002"/>
    <n v="72"/>
    <n v="0"/>
    <n v="1.31"/>
    <n v="2030.5"/>
    <x v="0"/>
  </r>
  <r>
    <x v="1"/>
    <x v="1"/>
    <x v="19"/>
    <s v="CMTA05"/>
    <x v="41"/>
    <n v="0"/>
    <n v="52.55"/>
    <n v="1"/>
    <n v="18.411000000000001"/>
    <n v="84.999899999999997"/>
    <n v="0"/>
    <n v="4.7772727272727273"/>
    <n v="7404.772727272727"/>
    <x v="0"/>
  </r>
  <r>
    <x v="1"/>
    <x v="0"/>
    <x v="17"/>
    <s v="CMTA02"/>
    <x v="40"/>
    <n v="0"/>
    <n v="84.7"/>
    <n v="1"/>
    <n v="34.598399999999998"/>
    <n v="98.211600000000004"/>
    <n v="0"/>
    <n v="9.4111111111111114"/>
    <n v="11302.744444444441"/>
    <x v="0"/>
  </r>
  <r>
    <x v="1"/>
    <x v="1"/>
    <x v="16"/>
    <s v="CMTA03"/>
    <x v="40"/>
    <n v="0"/>
    <n v="52.81"/>
    <n v="1"/>
    <n v="35.862900000000003"/>
    <n v="100"/>
    <n v="0"/>
    <n v="4.8009090909090908"/>
    <n v="7441.409090909091"/>
    <x v="0"/>
  </r>
  <r>
    <x v="1"/>
    <x v="0"/>
    <x v="17"/>
    <s v="CMTA02"/>
    <x v="41"/>
    <n v="0"/>
    <n v="32.630000000000003"/>
    <n v="1"/>
    <n v="28.556000000000001"/>
    <n v="87.000100000000003"/>
    <n v="0"/>
    <n v="3.6255555555555561"/>
    <n v="4354.2922222222223"/>
    <x v="0"/>
  </r>
  <r>
    <x v="0"/>
    <x v="0"/>
    <x v="8"/>
    <s v="T7"/>
    <x v="44"/>
    <n v="14.9003"/>
    <n v="2.67"/>
    <n v="1"/>
    <n v="4.7248000000000001"/>
    <n v="32.6693"/>
    <n v="1.86"/>
    <n v="0.44500000000000001"/>
    <n v="534.44500000000005"/>
    <x v="0"/>
  </r>
  <r>
    <x v="1"/>
    <x v="0"/>
    <x v="11"/>
    <s v="CMTA11"/>
    <x v="44"/>
    <n v="5.5891999999999999"/>
    <n v="15.78"/>
    <n v="1"/>
    <n v="13.925599999999999"/>
    <n v="67.505399999999995"/>
    <n v="0.7"/>
    <n v="1.753333333333333"/>
    <n v="2105.7533333333331"/>
    <x v="0"/>
  </r>
  <r>
    <x v="0"/>
    <x v="0"/>
    <x v="9"/>
    <s v="T6"/>
    <x v="44"/>
    <n v="4.5591999999999997"/>
    <n v="6.81"/>
    <n v="1"/>
    <n v="4.8118999999999996"/>
    <n v="14.39"/>
    <n v="0.56999999999999995"/>
    <n v="1.135"/>
    <n v="1363.135"/>
    <x v="0"/>
  </r>
  <r>
    <x v="0"/>
    <x v="0"/>
    <x v="0"/>
    <s v="T4"/>
    <x v="44"/>
    <n v="3.5278"/>
    <n v="26.43"/>
    <n v="1"/>
    <n v="9.4857999999999993"/>
    <n v="38.7438"/>
    <n v="0.44"/>
    <n v="4.4050000000000002"/>
    <n v="5290.4050000000007"/>
    <x v="0"/>
  </r>
  <r>
    <x v="1"/>
    <x v="0"/>
    <x v="7"/>
    <s v="CMTA01"/>
    <x v="44"/>
    <n v="2.8250000000000002"/>
    <n v="31.68"/>
    <n v="1"/>
    <n v="17.057300000000001"/>
    <n v="61.171599999999998"/>
    <n v="0.35"/>
    <n v="3.52"/>
    <n v="4227.5200000000004"/>
    <x v="0"/>
  </r>
  <r>
    <x v="0"/>
    <x v="0"/>
    <x v="15"/>
    <s v="T9"/>
    <x v="44"/>
    <n v="2.6389"/>
    <n v="0.72"/>
    <n v="0"/>
    <n v="4.3750999999999998"/>
    <n v="17.2606"/>
    <n v="0.33"/>
    <n v="0.12"/>
    <n v="144.12"/>
    <x v="0"/>
  </r>
  <r>
    <x v="1"/>
    <x v="0"/>
    <x v="12"/>
    <s v="CMTA10"/>
    <x v="44"/>
    <n v="2.5486"/>
    <n v="36.24"/>
    <n v="1"/>
    <n v="20.3002"/>
    <n v="87.000100000000003"/>
    <n v="0.32"/>
    <n v="4.0266666666666673"/>
    <n v="4836.0266666666676"/>
    <x v="0"/>
  </r>
  <r>
    <x v="0"/>
    <x v="0"/>
    <x v="20"/>
    <s v="T8"/>
    <x v="44"/>
    <n v="2.4742000000000002"/>
    <n v="9.6199999999999992"/>
    <n v="1"/>
    <n v="7.1116000000000001"/>
    <n v="29.539400000000001"/>
    <n v="0.31"/>
    <n v="1.6033333333333331"/>
    <n v="1925.603333333333"/>
    <x v="0"/>
  </r>
  <r>
    <x v="1"/>
    <x v="0"/>
    <x v="14"/>
    <s v="CMTA08"/>
    <x v="44"/>
    <n v="2.29"/>
    <n v="59.4"/>
    <n v="1"/>
    <n v="33.075099999999999"/>
    <n v="152.8826"/>
    <n v="0.28999999999999998"/>
    <n v="6.6"/>
    <n v="7926.5999999999995"/>
    <x v="0"/>
  </r>
  <r>
    <x v="0"/>
    <x v="0"/>
    <x v="2"/>
    <s v="T13"/>
    <x v="44"/>
    <n v="0.61470000000000002"/>
    <n v="2.81"/>
    <n v="1"/>
    <n v="6.0412999999999997"/>
    <n v="16.3902"/>
    <n v="0.08"/>
    <n v="0.46833333333333332"/>
    <n v="562.46833333333336"/>
    <x v="0"/>
  </r>
  <r>
    <x v="0"/>
    <x v="0"/>
    <x v="21"/>
    <s v="T11"/>
    <x v="44"/>
    <n v="4.6100000000000002E-2"/>
    <n v="3.24"/>
    <n v="1"/>
    <n v="7.3638000000000003"/>
    <n v="21.631399999999999"/>
    <n v="0.01"/>
    <n v="0.54"/>
    <n v="648.54000000000008"/>
    <x v="0"/>
  </r>
  <r>
    <x v="1"/>
    <x v="0"/>
    <x v="10"/>
    <s v="CMTA07"/>
    <x v="44"/>
    <n v="1.11E-2"/>
    <n v="0.02"/>
    <n v="0"/>
    <n v="5.3708"/>
    <n v="11.630599999999999"/>
    <n v="0"/>
    <n v="2.2222222222222218E-3"/>
    <n v="2.6688888888888891"/>
    <x v="0"/>
  </r>
  <r>
    <x v="1"/>
    <x v="1"/>
    <x v="16"/>
    <s v="CMTA03"/>
    <x v="44"/>
    <n v="0"/>
    <n v="69.819999999999993"/>
    <n v="1"/>
    <n v="36.999099999999999"/>
    <n v="116"/>
    <n v="0"/>
    <n v="6.3472727272727267"/>
    <n v="9838.2727272727261"/>
    <x v="0"/>
  </r>
  <r>
    <x v="1"/>
    <x v="0"/>
    <x v="17"/>
    <s v="CMTA02"/>
    <x v="44"/>
    <n v="0"/>
    <n v="65.150000000000006"/>
    <n v="1"/>
    <n v="26.918800000000001"/>
    <n v="87.636600000000001"/>
    <n v="0"/>
    <n v="7.2388888888888898"/>
    <n v="8693.9055555555569"/>
    <x v="0"/>
  </r>
  <r>
    <x v="1"/>
    <x v="1"/>
    <x v="18"/>
    <s v="CMTA04"/>
    <x v="44"/>
    <n v="0"/>
    <n v="34.32"/>
    <n v="1"/>
    <n v="20.116399999999999"/>
    <n v="73.000100000000003"/>
    <n v="0"/>
    <n v="3.12"/>
    <n v="4836"/>
    <x v="0"/>
  </r>
  <r>
    <x v="1"/>
    <x v="1"/>
    <x v="19"/>
    <s v="CMTA05"/>
    <x v="44"/>
    <n v="0"/>
    <n v="17.260000000000002"/>
    <n v="1"/>
    <n v="10.4247"/>
    <n v="30"/>
    <n v="0"/>
    <n v="1.5690909090909091"/>
    <n v="2432.090909090909"/>
    <x v="0"/>
  </r>
  <r>
    <x v="0"/>
    <x v="0"/>
    <x v="15"/>
    <s v="T9"/>
    <x v="45"/>
    <n v="9.2522000000000002"/>
    <n v="11.02"/>
    <n v="1"/>
    <n v="4.3514999999999997"/>
    <n v="63.245800000000003"/>
    <n v="1.1599999999999999"/>
    <n v="1.8366666666666669"/>
    <n v="2205.836666666667"/>
    <x v="0"/>
  </r>
  <r>
    <x v="0"/>
    <x v="0"/>
    <x v="2"/>
    <s v="T13"/>
    <x v="45"/>
    <n v="4.8041999999999998"/>
    <n v="13.57"/>
    <n v="1"/>
    <n v="4.9968000000000004"/>
    <n v="20.538699999999999"/>
    <n v="0.6"/>
    <n v="2.2616666666666672"/>
    <n v="2716.2616666666672"/>
    <x v="0"/>
  </r>
  <r>
    <x v="1"/>
    <x v="0"/>
    <x v="7"/>
    <s v="CMTA01"/>
    <x v="45"/>
    <n v="4.2949999999999999"/>
    <n v="35.22"/>
    <n v="1"/>
    <n v="17.2563"/>
    <n v="135.17750000000001"/>
    <n v="0.54"/>
    <n v="3.9133333333333331"/>
    <n v="4699.913333333333"/>
    <x v="0"/>
  </r>
  <r>
    <x v="1"/>
    <x v="0"/>
    <x v="11"/>
    <s v="CMTA11"/>
    <x v="45"/>
    <n v="3.5078"/>
    <n v="53.58"/>
    <n v="1"/>
    <n v="17.065200000000001"/>
    <n v="83"/>
    <n v="0.44"/>
    <n v="5.9533333333333331"/>
    <n v="7149.9533333333329"/>
    <x v="0"/>
  </r>
  <r>
    <x v="0"/>
    <x v="0"/>
    <x v="0"/>
    <s v="T4"/>
    <x v="45"/>
    <n v="2.5657999999999999"/>
    <n v="9.39"/>
    <n v="1"/>
    <n v="5.0502000000000002"/>
    <n v="65.875600000000006"/>
    <n v="0.32"/>
    <n v="1.5649999999999999"/>
    <n v="1879.5650000000001"/>
    <x v="0"/>
  </r>
  <r>
    <x v="1"/>
    <x v="0"/>
    <x v="12"/>
    <s v="CMTA10"/>
    <x v="45"/>
    <n v="2.5097"/>
    <n v="32.28"/>
    <n v="1"/>
    <n v="16.987300000000001"/>
    <n v="84.999899999999997"/>
    <n v="0.31"/>
    <n v="3.5866666666666669"/>
    <n v="4307.586666666667"/>
    <x v="0"/>
  </r>
  <r>
    <x v="0"/>
    <x v="0"/>
    <x v="9"/>
    <s v="T6"/>
    <x v="45"/>
    <n v="1.8542000000000001"/>
    <n v="3.57"/>
    <n v="1"/>
    <n v="5.1386000000000003"/>
    <n v="18.483000000000001"/>
    <n v="0.23"/>
    <n v="0.59499999999999997"/>
    <n v="714.59499999999991"/>
    <x v="0"/>
  </r>
  <r>
    <x v="0"/>
    <x v="0"/>
    <x v="8"/>
    <s v="T7"/>
    <x v="45"/>
    <n v="1.7903"/>
    <n v="3.58"/>
    <n v="1"/>
    <n v="4.2706999999999997"/>
    <n v="37.373399999999997"/>
    <n v="0.22"/>
    <n v="0.59666666666666668"/>
    <n v="716.59666666666669"/>
    <x v="0"/>
  </r>
  <r>
    <x v="1"/>
    <x v="0"/>
    <x v="14"/>
    <s v="CMTA08"/>
    <x v="45"/>
    <n v="1.7381"/>
    <n v="24.53"/>
    <n v="1"/>
    <n v="22.743099999999998"/>
    <n v="84.999899999999997"/>
    <n v="0.22"/>
    <n v="2.7255555555555562"/>
    <n v="3273.3922222222218"/>
    <x v="0"/>
  </r>
  <r>
    <x v="1"/>
    <x v="0"/>
    <x v="10"/>
    <s v="CMTA07"/>
    <x v="45"/>
    <n v="1.4108000000000001"/>
    <n v="0.26"/>
    <n v="0"/>
    <n v="5.4729000000000001"/>
    <n v="82.265799999999999"/>
    <n v="0.18"/>
    <n v="2.8888888888888891E-2"/>
    <n v="34.695555555555558"/>
    <x v="0"/>
  </r>
  <r>
    <x v="0"/>
    <x v="0"/>
    <x v="21"/>
    <s v="T11"/>
    <x v="45"/>
    <n v="0.1022"/>
    <n v="2.68"/>
    <n v="1"/>
    <n v="5.056"/>
    <n v="14.353"/>
    <n v="0.01"/>
    <n v="0.44666666666666671"/>
    <n v="536.44666666666672"/>
    <x v="0"/>
  </r>
  <r>
    <x v="0"/>
    <x v="0"/>
    <x v="5"/>
    <s v="T10"/>
    <x v="45"/>
    <n v="3.0999999999999999E-3"/>
    <n v="0.01"/>
    <n v="0"/>
    <n v="6.1116000000000001"/>
    <n v="6.1116000000000001"/>
    <n v="0"/>
    <n v="1.666666666666667E-3"/>
    <n v="2.0016666666666669"/>
    <x v="0"/>
  </r>
  <r>
    <x v="1"/>
    <x v="0"/>
    <x v="17"/>
    <s v="CMTA02"/>
    <x v="45"/>
    <n v="0"/>
    <n v="17.440000000000001"/>
    <n v="1"/>
    <n v="17.597200000000001"/>
    <n v="59.634399999999999"/>
    <n v="0"/>
    <n v="1.937777777777778"/>
    <n v="2327.2711111111112"/>
    <x v="0"/>
  </r>
  <r>
    <x v="1"/>
    <x v="1"/>
    <x v="16"/>
    <s v="CMTA03"/>
    <x v="45"/>
    <n v="0"/>
    <n v="113.99"/>
    <n v="1"/>
    <n v="37.798000000000002"/>
    <n v="118"/>
    <n v="0"/>
    <n v="10.36272727272727"/>
    <n v="16062.22727272727"/>
    <x v="0"/>
  </r>
  <r>
    <x v="1"/>
    <x v="1"/>
    <x v="19"/>
    <s v="CMTA05"/>
    <x v="45"/>
    <n v="0"/>
    <n v="35.56"/>
    <n v="1"/>
    <n v="15.764099999999999"/>
    <n v="83"/>
    <n v="0"/>
    <n v="3.2327272727272729"/>
    <n v="5010.727272727273"/>
    <x v="0"/>
  </r>
  <r>
    <x v="1"/>
    <x v="1"/>
    <x v="18"/>
    <s v="CMTA04"/>
    <x v="45"/>
    <n v="0"/>
    <n v="67.510000000000005"/>
    <n v="1"/>
    <n v="31.667100000000001"/>
    <n v="100.8599"/>
    <n v="0"/>
    <n v="6.1372727272727277"/>
    <n v="9512.7727272727279"/>
    <x v="0"/>
  </r>
  <r>
    <x v="0"/>
    <x v="0"/>
    <x v="6"/>
    <s v="T12"/>
    <x v="45"/>
    <n v="0"/>
    <n v="0.06"/>
    <n v="0"/>
    <n v="8.6487999999999996"/>
    <n v="20.7424"/>
    <n v="0"/>
    <n v="0.01"/>
    <n v="12.01"/>
    <x v="0"/>
  </r>
  <r>
    <x v="0"/>
    <x v="0"/>
    <x v="8"/>
    <s v="T7"/>
    <x v="46"/>
    <n v="11.637499999999999"/>
    <n v="1.5"/>
    <n v="1"/>
    <n v="3.1619999999999999"/>
    <n v="13.315899999999999"/>
    <n v="1.45"/>
    <n v="0.25"/>
    <n v="300.25"/>
    <x v="0"/>
  </r>
  <r>
    <x v="0"/>
    <x v="0"/>
    <x v="9"/>
    <s v="T6"/>
    <x v="46"/>
    <n v="5.4356"/>
    <n v="26.56"/>
    <n v="1"/>
    <n v="8.6107999999999993"/>
    <n v="26"/>
    <n v="0.68"/>
    <n v="4.4266666666666667"/>
    <n v="5316.4266666666672"/>
    <x v="0"/>
  </r>
  <r>
    <x v="1"/>
    <x v="0"/>
    <x v="11"/>
    <s v="CMTA11"/>
    <x v="46"/>
    <n v="4.6036000000000001"/>
    <n v="153.5"/>
    <n v="1"/>
    <n v="40.836799999999997"/>
    <n v="151.1788"/>
    <n v="0.57999999999999996"/>
    <n v="17.055555555555561"/>
    <n v="20483.722222222219"/>
    <x v="0"/>
  </r>
  <r>
    <x v="1"/>
    <x v="0"/>
    <x v="10"/>
    <s v="CMTA07"/>
    <x v="46"/>
    <n v="2.88"/>
    <n v="99.26"/>
    <n v="1"/>
    <n v="44.0276"/>
    <n v="145.0001"/>
    <n v="0.36"/>
    <n v="11.02888888888889"/>
    <n v="13245.69555555556"/>
    <x v="0"/>
  </r>
  <r>
    <x v="1"/>
    <x v="0"/>
    <x v="12"/>
    <s v="CMTA10"/>
    <x v="46"/>
    <n v="2.7713999999999999"/>
    <n v="27.07"/>
    <n v="1"/>
    <n v="14.733700000000001"/>
    <n v="80.000100000000003"/>
    <n v="0.35"/>
    <n v="3.0077777777777781"/>
    <n v="3612.3411111111109"/>
    <x v="0"/>
  </r>
  <r>
    <x v="0"/>
    <x v="0"/>
    <x v="0"/>
    <s v="T4"/>
    <x v="46"/>
    <n v="2.5232999999999999"/>
    <n v="22.8"/>
    <n v="1"/>
    <n v="10.2324"/>
    <n v="29.0001"/>
    <n v="0.32"/>
    <n v="3.8"/>
    <n v="4563.8"/>
    <x v="0"/>
  </r>
  <r>
    <x v="1"/>
    <x v="0"/>
    <x v="14"/>
    <s v="CMTA08"/>
    <x v="46"/>
    <n v="2.4597000000000002"/>
    <n v="62.78"/>
    <n v="1"/>
    <n v="29.388400000000001"/>
    <n v="124.23220000000001"/>
    <n v="0.31"/>
    <n v="6.9755555555555553"/>
    <n v="8377.6422222222227"/>
    <x v="0"/>
  </r>
  <r>
    <x v="0"/>
    <x v="0"/>
    <x v="20"/>
    <s v="T8"/>
    <x v="46"/>
    <n v="2.2385999999999999"/>
    <n v="8.66"/>
    <n v="1"/>
    <n v="6.8657000000000004"/>
    <n v="29.520900000000001"/>
    <n v="0.28000000000000003"/>
    <n v="1.4433333333333329"/>
    <n v="1733.4433333333329"/>
    <x v="0"/>
  </r>
  <r>
    <x v="1"/>
    <x v="0"/>
    <x v="7"/>
    <s v="CMTA01"/>
    <x v="46"/>
    <n v="1.9781"/>
    <n v="23.46"/>
    <n v="1"/>
    <n v="15.5312"/>
    <n v="65.227400000000003"/>
    <n v="0.25"/>
    <n v="2.6066666666666669"/>
    <n v="3130.606666666667"/>
    <x v="0"/>
  </r>
  <r>
    <x v="0"/>
    <x v="0"/>
    <x v="21"/>
    <s v="T11"/>
    <x v="46"/>
    <n v="1.3956"/>
    <n v="5.87"/>
    <n v="1"/>
    <n v="6.3186999999999998"/>
    <n v="100.9525"/>
    <n v="0.17"/>
    <n v="0.97833333333333339"/>
    <n v="1174.978333333333"/>
    <x v="0"/>
  </r>
  <r>
    <x v="0"/>
    <x v="0"/>
    <x v="6"/>
    <s v="T12"/>
    <x v="46"/>
    <n v="0"/>
    <n v="0.02"/>
    <n v="0"/>
    <n v="4.7843"/>
    <n v="24.7057"/>
    <n v="0"/>
    <n v="3.333333333333334E-3"/>
    <n v="4.0033333333333339"/>
    <x v="0"/>
  </r>
  <r>
    <x v="1"/>
    <x v="1"/>
    <x v="18"/>
    <s v="CMTA04"/>
    <x v="46"/>
    <n v="0"/>
    <n v="88.41"/>
    <n v="1"/>
    <n v="33.161299999999997"/>
    <n v="96.000100000000003"/>
    <n v="0"/>
    <n v="8.0372727272727271"/>
    <n v="12457.77272727273"/>
    <x v="0"/>
  </r>
  <r>
    <x v="1"/>
    <x v="1"/>
    <x v="19"/>
    <s v="CMTA05"/>
    <x v="46"/>
    <n v="0"/>
    <n v="18.93"/>
    <n v="1"/>
    <n v="11.2971"/>
    <n v="39.095700000000001"/>
    <n v="0"/>
    <n v="1.7209090909090909"/>
    <n v="2667.409090909091"/>
    <x v="0"/>
  </r>
  <r>
    <x v="1"/>
    <x v="0"/>
    <x v="17"/>
    <s v="CMTA02"/>
    <x v="46"/>
    <n v="0"/>
    <n v="40.64"/>
    <n v="1"/>
    <n v="27.853200000000001"/>
    <n v="87.000100000000003"/>
    <n v="0"/>
    <n v="4.5155555555555553"/>
    <n v="5423.1822222222218"/>
    <x v="0"/>
  </r>
  <r>
    <x v="1"/>
    <x v="1"/>
    <x v="16"/>
    <s v="CMTA03"/>
    <x v="46"/>
    <n v="0"/>
    <n v="91.7"/>
    <n v="1"/>
    <n v="37.524299999999997"/>
    <n v="112.0001"/>
    <n v="0"/>
    <n v="8.336363636363636"/>
    <n v="12921.36363636364"/>
    <x v="0"/>
  </r>
  <r>
    <x v="0"/>
    <x v="0"/>
    <x v="1"/>
    <s v="T14"/>
    <x v="47"/>
    <n v="6.65"/>
    <n v="24.8"/>
    <n v="1"/>
    <n v="6.0644999999999998"/>
    <n v="59.578800000000001"/>
    <n v="0.83"/>
    <n v="4.1333333333333337"/>
    <n v="4964.1333333333341"/>
    <x v="0"/>
  </r>
  <r>
    <x v="0"/>
    <x v="0"/>
    <x v="13"/>
    <s v="T5"/>
    <x v="47"/>
    <n v="6.2622"/>
    <n v="25.32"/>
    <n v="1"/>
    <n v="5.7516999999999996"/>
    <n v="21.2239"/>
    <n v="0.78"/>
    <n v="4.22"/>
    <n v="5068.2199999999993"/>
    <x v="0"/>
  </r>
  <r>
    <x v="0"/>
    <x v="0"/>
    <x v="8"/>
    <s v="T7"/>
    <x v="48"/>
    <n v="5.8531000000000004"/>
    <n v="10.37"/>
    <n v="1"/>
    <n v="5.1856"/>
    <n v="18"/>
    <n v="0.73"/>
    <n v="1.7283333333333331"/>
    <n v="2075.728333333333"/>
    <x v="0"/>
  </r>
  <r>
    <x v="1"/>
    <x v="0"/>
    <x v="10"/>
    <s v="CMTA07"/>
    <x v="47"/>
    <n v="5.3414000000000001"/>
    <n v="214.58"/>
    <n v="1"/>
    <n v="35.965299999999999"/>
    <n v="174.42140000000001"/>
    <n v="0.67"/>
    <n v="23.842222222222219"/>
    <n v="28634.508888888889"/>
    <x v="0"/>
  </r>
  <r>
    <x v="0"/>
    <x v="0"/>
    <x v="9"/>
    <s v="T6"/>
    <x v="48"/>
    <n v="5.2678000000000003"/>
    <n v="18.8"/>
    <n v="1"/>
    <n v="7.1416000000000004"/>
    <n v="29.0001"/>
    <n v="0.66"/>
    <n v="3.1333333333333329"/>
    <n v="3763.1333333333332"/>
    <x v="0"/>
  </r>
  <r>
    <x v="0"/>
    <x v="0"/>
    <x v="0"/>
    <s v="T4"/>
    <x v="47"/>
    <n v="4.9739000000000004"/>
    <n v="20.37"/>
    <n v="1"/>
    <n v="6.1910999999999996"/>
    <n v="34.187899999999999"/>
    <n v="0.62"/>
    <n v="3.395"/>
    <n v="4077.395"/>
    <x v="0"/>
  </r>
  <r>
    <x v="0"/>
    <x v="0"/>
    <x v="13"/>
    <s v="T5"/>
    <x v="48"/>
    <n v="4.6913999999999998"/>
    <n v="14.75"/>
    <n v="1"/>
    <n v="5.7435"/>
    <n v="16.093900000000001"/>
    <n v="0.59"/>
    <n v="2.458333333333333"/>
    <n v="2952.458333333333"/>
    <x v="0"/>
  </r>
  <r>
    <x v="0"/>
    <x v="0"/>
    <x v="21"/>
    <s v="T11"/>
    <x v="47"/>
    <n v="4.4852999999999996"/>
    <n v="19.2"/>
    <n v="1"/>
    <n v="6.1818999999999997"/>
    <n v="67.264600000000002"/>
    <n v="0.56000000000000005"/>
    <n v="3.2"/>
    <n v="3843.2"/>
    <x v="0"/>
  </r>
  <r>
    <x v="1"/>
    <x v="0"/>
    <x v="11"/>
    <s v="CMTA11"/>
    <x v="48"/>
    <n v="4.2260999999999997"/>
    <n v="16.559999999999999"/>
    <n v="1"/>
    <n v="14.987399999999999"/>
    <n v="39.299399999999999"/>
    <n v="0.53"/>
    <n v="1.84"/>
    <n v="2209.84"/>
    <x v="0"/>
  </r>
  <r>
    <x v="1"/>
    <x v="0"/>
    <x v="10"/>
    <s v="CMTA07"/>
    <x v="48"/>
    <n v="3.9018999999999999"/>
    <n v="178.82"/>
    <n v="1"/>
    <n v="44.338700000000003"/>
    <n v="197.60839999999999"/>
    <n v="0.49"/>
    <n v="19.86888888888889"/>
    <n v="23862.535555555562"/>
    <x v="0"/>
  </r>
  <r>
    <x v="1"/>
    <x v="0"/>
    <x v="12"/>
    <s v="CMTA10"/>
    <x v="47"/>
    <n v="3.6675"/>
    <n v="51.7"/>
    <n v="1"/>
    <n v="21.848400000000002"/>
    <n v="103.7861"/>
    <n v="0.46"/>
    <n v="5.7444444444444436"/>
    <n v="6899.0777777777776"/>
    <x v="0"/>
  </r>
  <r>
    <x v="1"/>
    <x v="0"/>
    <x v="11"/>
    <s v="CMTA11"/>
    <x v="47"/>
    <n v="3.5771999999999999"/>
    <n v="153.46"/>
    <n v="1"/>
    <n v="40.206699999999998"/>
    <n v="158.64230000000001"/>
    <n v="0.45"/>
    <n v="17.051111111111108"/>
    <n v="20478.38444444444"/>
    <x v="0"/>
  </r>
  <r>
    <x v="0"/>
    <x v="0"/>
    <x v="8"/>
    <s v="T7"/>
    <x v="47"/>
    <n v="3.2850000000000001"/>
    <n v="18.32"/>
    <n v="1"/>
    <n v="7.3864000000000001"/>
    <n v="26.9999"/>
    <n v="0.41"/>
    <n v="3.0533333333333328"/>
    <n v="3667.0533333333328"/>
    <x v="0"/>
  </r>
  <r>
    <x v="1"/>
    <x v="0"/>
    <x v="14"/>
    <s v="CMTA08"/>
    <x v="47"/>
    <n v="3.1989000000000001"/>
    <n v="82.58"/>
    <n v="1"/>
    <n v="31.9161"/>
    <n v="108.0001"/>
    <n v="0.4"/>
    <n v="9.1755555555555546"/>
    <n v="11019.84222222222"/>
    <x v="0"/>
  </r>
  <r>
    <x v="1"/>
    <x v="0"/>
    <x v="7"/>
    <s v="CMTA01"/>
    <x v="48"/>
    <n v="3.1002999999999998"/>
    <n v="42.23"/>
    <n v="1"/>
    <n v="21.505700000000001"/>
    <n v="106"/>
    <n v="0.39"/>
    <n v="4.6922222222222221"/>
    <n v="5635.3588888888889"/>
    <x v="0"/>
  </r>
  <r>
    <x v="0"/>
    <x v="0"/>
    <x v="20"/>
    <s v="T8"/>
    <x v="47"/>
    <n v="3.0356000000000001"/>
    <n v="7.54"/>
    <n v="1"/>
    <n v="5.0666000000000002"/>
    <n v="22.0001"/>
    <n v="0.38"/>
    <n v="1.256666666666667"/>
    <n v="1509.2566666666669"/>
    <x v="0"/>
  </r>
  <r>
    <x v="1"/>
    <x v="0"/>
    <x v="14"/>
    <s v="CMTA08"/>
    <x v="48"/>
    <n v="2.4517000000000002"/>
    <n v="55.85"/>
    <n v="1"/>
    <n v="29.046199999999999"/>
    <n v="105.0001"/>
    <n v="0.31"/>
    <n v="6.2055555555555557"/>
    <n v="7452.8722222222223"/>
    <x v="0"/>
  </r>
  <r>
    <x v="1"/>
    <x v="0"/>
    <x v="7"/>
    <s v="CMTA01"/>
    <x v="47"/>
    <n v="2.3814000000000002"/>
    <n v="58.52"/>
    <n v="1"/>
    <n v="29.912600000000001"/>
    <n v="127"/>
    <n v="0.3"/>
    <n v="6.5022222222222226"/>
    <n v="7809.1688888888893"/>
    <x v="0"/>
  </r>
  <r>
    <x v="0"/>
    <x v="0"/>
    <x v="20"/>
    <s v="T8"/>
    <x v="48"/>
    <n v="2.3424999999999998"/>
    <n v="12.85"/>
    <n v="1"/>
    <n v="8.4842999999999993"/>
    <n v="34.947200000000002"/>
    <n v="0.28999999999999998"/>
    <n v="2.1416666666666671"/>
    <n v="2572.141666666666"/>
    <x v="0"/>
  </r>
  <r>
    <x v="1"/>
    <x v="0"/>
    <x v="12"/>
    <s v="CMTA10"/>
    <x v="48"/>
    <n v="2.2250000000000001"/>
    <n v="40.07"/>
    <n v="1"/>
    <n v="23.352900000000002"/>
    <n v="87.000100000000003"/>
    <n v="0.28000000000000003"/>
    <n v="4.4522222222222219"/>
    <n v="5347.1188888888883"/>
    <x v="0"/>
  </r>
  <r>
    <x v="0"/>
    <x v="0"/>
    <x v="9"/>
    <s v="T6"/>
    <x v="49"/>
    <n v="2.0388999999999999"/>
    <n v="8.39"/>
    <n v="1"/>
    <n v="6.53"/>
    <n v="26"/>
    <n v="0.25"/>
    <n v="1.398333333333333"/>
    <n v="1679.398333333334"/>
    <x v="1"/>
  </r>
  <r>
    <x v="0"/>
    <x v="0"/>
    <x v="9"/>
    <s v="T6"/>
    <x v="47"/>
    <n v="0.91890000000000005"/>
    <n v="19.27"/>
    <n v="1"/>
    <n v="24.105899999999998"/>
    <n v="36.000100000000003"/>
    <n v="0.11"/>
    <n v="3.211666666666666"/>
    <n v="3857.211666666667"/>
    <x v="0"/>
  </r>
  <r>
    <x v="0"/>
    <x v="0"/>
    <x v="2"/>
    <s v="T13"/>
    <x v="48"/>
    <n v="0.77859999999999996"/>
    <n v="3.51"/>
    <n v="1"/>
    <n v="6.5984999999999996"/>
    <n v="16.056799999999999"/>
    <n v="0.1"/>
    <n v="0.58499999999999996"/>
    <n v="702.58499999999992"/>
    <x v="0"/>
  </r>
  <r>
    <x v="1"/>
    <x v="0"/>
    <x v="7"/>
    <s v="CMTA01"/>
    <x v="49"/>
    <n v="0.62829999999999997"/>
    <n v="14.53"/>
    <n v="1"/>
    <n v="28.1614"/>
    <n v="67.801699999999997"/>
    <n v="0.08"/>
    <n v="1.6144444444444439"/>
    <n v="1938.9477777777779"/>
    <x v="1"/>
  </r>
  <r>
    <x v="1"/>
    <x v="0"/>
    <x v="7"/>
    <s v="CMTA01"/>
    <x v="50"/>
    <n v="0.50939999999999996"/>
    <n v="15.28"/>
    <n v="1"/>
    <n v="32.9724"/>
    <n v="76"/>
    <n v="0.06"/>
    <n v="1.6977777777777781"/>
    <n v="2039.0311111111109"/>
    <x v="1"/>
  </r>
  <r>
    <x v="1"/>
    <x v="0"/>
    <x v="14"/>
    <s v="CMTA08"/>
    <x v="50"/>
    <n v="0.13439999999999999"/>
    <n v="5.4"/>
    <n v="1"/>
    <n v="38.402200000000001"/>
    <n v="108.0001"/>
    <n v="0.02"/>
    <n v="0.60000000000000009"/>
    <n v="720.60000000000014"/>
    <x v="1"/>
  </r>
  <r>
    <x v="1"/>
    <x v="0"/>
    <x v="14"/>
    <s v="CMTA08"/>
    <x v="49"/>
    <n v="9.9199999999999997E-2"/>
    <n v="0.86"/>
    <n v="0"/>
    <n v="16.410799999999998"/>
    <n v="47.000100000000003"/>
    <n v="0.01"/>
    <n v="9.555555555555556E-2"/>
    <n v="114.76222222222221"/>
    <x v="1"/>
  </r>
  <r>
    <x v="0"/>
    <x v="0"/>
    <x v="21"/>
    <s v="T11"/>
    <x v="48"/>
    <n v="7.4999999999999997E-2"/>
    <n v="0.25"/>
    <n v="0"/>
    <n v="4.8318000000000003"/>
    <n v="13.2233"/>
    <n v="0.01"/>
    <n v="4.1666666666666657E-2"/>
    <n v="50.041666666666657"/>
    <x v="0"/>
  </r>
  <r>
    <x v="1"/>
    <x v="0"/>
    <x v="10"/>
    <s v="CMTA07"/>
    <x v="50"/>
    <n v="3.7199999999999997E-2"/>
    <n v="0"/>
    <n v="0"/>
    <n v="0"/>
    <n v="0"/>
    <n v="0"/>
    <n v="0"/>
    <n v="0"/>
    <x v="1"/>
  </r>
  <r>
    <x v="1"/>
    <x v="1"/>
    <x v="19"/>
    <s v="CMTA05"/>
    <x v="47"/>
    <n v="0"/>
    <n v="45.27"/>
    <n v="1"/>
    <n v="18.6843"/>
    <n v="80.487899999999996"/>
    <n v="0"/>
    <n v="4.1154545454545461"/>
    <n v="6378.9545454545469"/>
    <x v="0"/>
  </r>
  <r>
    <x v="1"/>
    <x v="1"/>
    <x v="18"/>
    <s v="CMTA04"/>
    <x v="50"/>
    <n v="0"/>
    <n v="19.47"/>
    <n v="1"/>
    <n v="39.2821"/>
    <n v="92.563000000000002"/>
    <n v="0"/>
    <n v="1.77"/>
    <n v="2743.5"/>
    <x v="1"/>
  </r>
  <r>
    <x v="1"/>
    <x v="1"/>
    <x v="16"/>
    <s v="CMTA03"/>
    <x v="48"/>
    <n v="0"/>
    <n v="77.2"/>
    <n v="1"/>
    <n v="35.0458"/>
    <n v="129.12139999999999"/>
    <n v="0"/>
    <n v="7.0181818181818194"/>
    <n v="10878.18181818182"/>
    <x v="0"/>
  </r>
  <r>
    <x v="1"/>
    <x v="1"/>
    <x v="18"/>
    <s v="CMTA04"/>
    <x v="49"/>
    <n v="0"/>
    <n v="11.85"/>
    <n v="1"/>
    <n v="19.506799999999998"/>
    <n v="68.000100000000003"/>
    <n v="0"/>
    <n v="1.0772727272727269"/>
    <n v="1669.772727272727"/>
    <x v="1"/>
  </r>
  <r>
    <x v="1"/>
    <x v="1"/>
    <x v="16"/>
    <s v="CMTA03"/>
    <x v="47"/>
    <n v="0"/>
    <n v="13.4"/>
    <n v="1"/>
    <n v="32.627200000000002"/>
    <n v="90.007199999999997"/>
    <n v="0"/>
    <n v="1.218181818181818"/>
    <n v="1888.181818181818"/>
    <x v="0"/>
  </r>
  <r>
    <x v="1"/>
    <x v="1"/>
    <x v="18"/>
    <s v="CMTA04"/>
    <x v="48"/>
    <n v="0"/>
    <n v="75.87"/>
    <n v="1"/>
    <n v="31.530999999999999"/>
    <n v="100"/>
    <n v="0"/>
    <n v="6.8972727272727274"/>
    <n v="10690.77272727273"/>
    <x v="0"/>
  </r>
  <r>
    <x v="1"/>
    <x v="1"/>
    <x v="16"/>
    <s v="CMTA03"/>
    <x v="49"/>
    <n v="0"/>
    <n v="23.83"/>
    <n v="1"/>
    <n v="29.506900000000002"/>
    <n v="94.859399999999994"/>
    <n v="0"/>
    <n v="2.166363636363636"/>
    <n v="3357.863636363636"/>
    <x v="1"/>
  </r>
  <r>
    <x v="1"/>
    <x v="0"/>
    <x v="17"/>
    <s v="CMTA02"/>
    <x v="48"/>
    <n v="0"/>
    <n v="43.31"/>
    <n v="1"/>
    <n v="26.901599999999998"/>
    <n v="91.000100000000003"/>
    <n v="0"/>
    <n v="4.8122222222222222"/>
    <n v="5779.4788888888888"/>
    <x v="0"/>
  </r>
  <r>
    <x v="1"/>
    <x v="1"/>
    <x v="19"/>
    <s v="CMTA05"/>
    <x v="48"/>
    <n v="0"/>
    <n v="33.380000000000003"/>
    <n v="1"/>
    <n v="16.6311"/>
    <n v="101.0001"/>
    <n v="0"/>
    <n v="3.0345454545454551"/>
    <n v="4703.545454545455"/>
    <x v="0"/>
  </r>
  <r>
    <x v="1"/>
    <x v="1"/>
    <x v="16"/>
    <s v="CMTA03"/>
    <x v="50"/>
    <n v="0"/>
    <n v="10.74"/>
    <n v="1"/>
    <n v="27.2972"/>
    <n v="72.413200000000003"/>
    <n v="0"/>
    <n v="0.97636363636363643"/>
    <n v="1513.363636363636"/>
    <x v="1"/>
  </r>
  <r>
    <x v="1"/>
    <x v="1"/>
    <x v="18"/>
    <s v="CMTA04"/>
    <x v="47"/>
    <n v="0"/>
    <n v="66.069999999999993"/>
    <n v="1"/>
    <n v="29.149899999999999"/>
    <n v="79"/>
    <n v="0"/>
    <n v="6.0063636363636359"/>
    <n v="9309.863636363636"/>
    <x v="0"/>
  </r>
  <r>
    <x v="1"/>
    <x v="0"/>
    <x v="10"/>
    <s v="CMTA07"/>
    <x v="51"/>
    <n v="7.1002999999999998"/>
    <n v="234.91"/>
    <n v="1"/>
    <n v="38.330300000000001"/>
    <n v="194.99709999999999"/>
    <n v="0.89"/>
    <n v="26.101111111111109"/>
    <n v="31347.43444444444"/>
    <x v="0"/>
  </r>
  <r>
    <x v="0"/>
    <x v="0"/>
    <x v="6"/>
    <s v="T12"/>
    <x v="52"/>
    <n v="6.6224999999999996"/>
    <n v="30.88"/>
    <n v="1"/>
    <n v="6.0060000000000002"/>
    <n v="28.780100000000001"/>
    <n v="0.83"/>
    <n v="5.1466666666666674"/>
    <n v="6181.1466666666674"/>
    <x v="0"/>
  </r>
  <r>
    <x v="1"/>
    <x v="0"/>
    <x v="7"/>
    <s v="CMTA01"/>
    <x v="53"/>
    <n v="5.9808000000000003"/>
    <n v="14.12"/>
    <n v="1"/>
    <n v="29.753599999999999"/>
    <n v="70.653800000000004"/>
    <n v="0.75"/>
    <n v="1.568888888888889"/>
    <n v="1884.235555555555"/>
    <x v="0"/>
  </r>
  <r>
    <x v="1"/>
    <x v="0"/>
    <x v="11"/>
    <s v="CMTA11"/>
    <x v="51"/>
    <n v="5.7188999999999997"/>
    <n v="20.28"/>
    <n v="1"/>
    <n v="15.649800000000001"/>
    <n v="38.000100000000003"/>
    <n v="0.71"/>
    <n v="2.253333333333333"/>
    <n v="2706.253333333334"/>
    <x v="0"/>
  </r>
  <r>
    <x v="0"/>
    <x v="0"/>
    <x v="13"/>
    <s v="T5"/>
    <x v="51"/>
    <n v="5.4424999999999999"/>
    <n v="24.57"/>
    <n v="1"/>
    <n v="5.0449999999999999"/>
    <n v="20.6313"/>
    <n v="0.68"/>
    <n v="4.0949999999999998"/>
    <n v="4918.0949999999993"/>
    <x v="0"/>
  </r>
  <r>
    <x v="1"/>
    <x v="0"/>
    <x v="11"/>
    <s v="CMTA11"/>
    <x v="54"/>
    <n v="5.18"/>
    <n v="41.32"/>
    <n v="1"/>
    <n v="20.154199999999999"/>
    <n v="79"/>
    <n v="0.65"/>
    <n v="4.5911111111111111"/>
    <n v="5513.9244444444448"/>
    <x v="0"/>
  </r>
  <r>
    <x v="0"/>
    <x v="0"/>
    <x v="8"/>
    <s v="T7"/>
    <x v="54"/>
    <n v="4.9858000000000002"/>
    <n v="14.86"/>
    <n v="1"/>
    <n v="4.7172999999999998"/>
    <n v="17.927399999999999"/>
    <n v="0.62"/>
    <n v="2.476666666666667"/>
    <n v="2974.476666666666"/>
    <x v="0"/>
  </r>
  <r>
    <x v="0"/>
    <x v="0"/>
    <x v="20"/>
    <s v="T8"/>
    <x v="51"/>
    <n v="4.9527999999999999"/>
    <n v="19.38"/>
    <n v="1"/>
    <n v="7.2565999999999997"/>
    <n v="39.243899999999996"/>
    <n v="0.62"/>
    <n v="3.23"/>
    <n v="3879.23"/>
    <x v="0"/>
  </r>
  <r>
    <x v="1"/>
    <x v="0"/>
    <x v="11"/>
    <s v="CMTA11"/>
    <x v="55"/>
    <n v="4.8038999999999996"/>
    <n v="27"/>
    <n v="1"/>
    <n v="16.064499999999999"/>
    <n v="47.207500000000003"/>
    <n v="0.6"/>
    <n v="3"/>
    <n v="3603"/>
    <x v="0"/>
  </r>
  <r>
    <x v="1"/>
    <x v="0"/>
    <x v="11"/>
    <s v="CMTA11"/>
    <x v="56"/>
    <n v="4.7061000000000002"/>
    <n v="22.55"/>
    <n v="1"/>
    <n v="15.485900000000001"/>
    <n v="67.468400000000003"/>
    <n v="0.59"/>
    <n v="2.505555555555556"/>
    <n v="3009.172222222222"/>
    <x v="0"/>
  </r>
  <r>
    <x v="1"/>
    <x v="0"/>
    <x v="10"/>
    <s v="CMTA07"/>
    <x v="56"/>
    <n v="4.4482999999999997"/>
    <n v="146.11000000000001"/>
    <n v="1"/>
    <n v="37.756399999999999"/>
    <n v="175.66220000000001"/>
    <n v="0.56000000000000005"/>
    <n v="16.234444444444449"/>
    <n v="19497.567777777778"/>
    <x v="0"/>
  </r>
  <r>
    <x v="1"/>
    <x v="0"/>
    <x v="12"/>
    <s v="CMTA10"/>
    <x v="52"/>
    <n v="4.2435999999999998"/>
    <n v="71.790000000000006"/>
    <n v="1"/>
    <n v="22.445599999999999"/>
    <n v="171.8656"/>
    <n v="0.53"/>
    <n v="7.9766666666666666"/>
    <n v="9579.9766666666674"/>
    <x v="0"/>
  </r>
  <r>
    <x v="0"/>
    <x v="0"/>
    <x v="20"/>
    <s v="T8"/>
    <x v="52"/>
    <n v="4.1314000000000002"/>
    <n v="13.4"/>
    <n v="1"/>
    <n v="6.2122999999999999"/>
    <n v="66.801599999999993"/>
    <n v="0.52"/>
    <n v="2.2333333333333329"/>
    <n v="2682.233333333334"/>
    <x v="0"/>
  </r>
  <r>
    <x v="1"/>
    <x v="0"/>
    <x v="12"/>
    <s v="CMTA10"/>
    <x v="54"/>
    <n v="4.0883000000000003"/>
    <n v="38.83"/>
    <n v="1"/>
    <n v="15.573"/>
    <n v="70.672300000000007"/>
    <n v="0.51"/>
    <n v="4.3144444444444439"/>
    <n v="5181.6477777777773"/>
    <x v="0"/>
  </r>
  <r>
    <x v="1"/>
    <x v="0"/>
    <x v="14"/>
    <s v="CMTA08"/>
    <x v="51"/>
    <n v="4.0632999999999999"/>
    <n v="85.04"/>
    <n v="1"/>
    <n v="27.4068"/>
    <n v="112.0001"/>
    <n v="0.51"/>
    <n v="9.4488888888888898"/>
    <n v="11348.11555555556"/>
    <x v="0"/>
  </r>
  <r>
    <x v="0"/>
    <x v="0"/>
    <x v="0"/>
    <s v="T4"/>
    <x v="51"/>
    <n v="4.0308000000000002"/>
    <n v="16.690000000000001"/>
    <n v="1"/>
    <n v="5.4739000000000004"/>
    <n v="54.2821"/>
    <n v="0.5"/>
    <n v="2.7816666666666672"/>
    <n v="3340.7816666666672"/>
    <x v="0"/>
  </r>
  <r>
    <x v="1"/>
    <x v="0"/>
    <x v="11"/>
    <s v="CMTA11"/>
    <x v="52"/>
    <n v="3.9239000000000002"/>
    <n v="163.84"/>
    <n v="1"/>
    <n v="44.317900000000002"/>
    <n v="134"/>
    <n v="0.49"/>
    <n v="18.204444444444441"/>
    <n v="21863.537777777779"/>
    <x v="0"/>
  </r>
  <r>
    <x v="0"/>
    <x v="0"/>
    <x v="8"/>
    <s v="T7"/>
    <x v="55"/>
    <n v="3.8616999999999999"/>
    <n v="8.4499999999999993"/>
    <n v="1"/>
    <n v="6.1365999999999996"/>
    <n v="25.742799999999999"/>
    <n v="0.48"/>
    <n v="1.408333333333333"/>
    <n v="1691.4083333333331"/>
    <x v="0"/>
  </r>
  <r>
    <x v="0"/>
    <x v="0"/>
    <x v="9"/>
    <s v="T6"/>
    <x v="56"/>
    <n v="3.8067000000000002"/>
    <n v="7.58"/>
    <n v="1"/>
    <n v="6.7191000000000001"/>
    <n v="22.279599999999999"/>
    <n v="0.48"/>
    <n v="1.263333333333333"/>
    <n v="1517.263333333334"/>
    <x v="0"/>
  </r>
  <r>
    <x v="0"/>
    <x v="0"/>
    <x v="21"/>
    <s v="T11"/>
    <x v="55"/>
    <n v="3.7696999999999998"/>
    <n v="26.2"/>
    <n v="1"/>
    <n v="5.7453000000000003"/>
    <n v="18.223700000000001"/>
    <n v="0.47"/>
    <n v="4.3666666666666663"/>
    <n v="5244.3666666666659"/>
    <x v="0"/>
  </r>
  <r>
    <x v="0"/>
    <x v="0"/>
    <x v="20"/>
    <s v="T8"/>
    <x v="54"/>
    <n v="3.7639"/>
    <n v="12.4"/>
    <n v="1"/>
    <n v="5.8842999999999996"/>
    <n v="32.928600000000003"/>
    <n v="0.47"/>
    <n v="2.0666666666666669"/>
    <n v="2482.0666666666671"/>
    <x v="0"/>
  </r>
  <r>
    <x v="0"/>
    <x v="0"/>
    <x v="8"/>
    <s v="T7"/>
    <x v="51"/>
    <n v="3.7422"/>
    <n v="13.3"/>
    <n v="1"/>
    <n v="5.9894999999999996"/>
    <n v="14.001099999999999"/>
    <n v="0.47"/>
    <n v="2.2166666666666668"/>
    <n v="2662.2166666666672"/>
    <x v="0"/>
  </r>
  <r>
    <x v="0"/>
    <x v="0"/>
    <x v="6"/>
    <s v="T12"/>
    <x v="54"/>
    <n v="3.5649999999999999"/>
    <n v="14.17"/>
    <n v="1"/>
    <n v="6.0187999999999997"/>
    <n v="66.449799999999996"/>
    <n v="0.45"/>
    <n v="2.3616666666666668"/>
    <n v="2836.3616666666671"/>
    <x v="0"/>
  </r>
  <r>
    <x v="0"/>
    <x v="0"/>
    <x v="21"/>
    <s v="T11"/>
    <x v="51"/>
    <n v="3.4956"/>
    <n v="20.63"/>
    <n v="1"/>
    <n v="6.4271000000000003"/>
    <n v="17.131"/>
    <n v="0.44"/>
    <n v="3.438333333333333"/>
    <n v="4129.4383333333326"/>
    <x v="0"/>
  </r>
  <r>
    <x v="1"/>
    <x v="0"/>
    <x v="12"/>
    <s v="CMTA10"/>
    <x v="56"/>
    <n v="3.4771999999999998"/>
    <n v="39.94"/>
    <n v="1"/>
    <n v="17.835699999999999"/>
    <n v="84.4512"/>
    <n v="0.43"/>
    <n v="4.4377777777777778"/>
    <n v="5329.7711111111112"/>
    <x v="0"/>
  </r>
  <r>
    <x v="1"/>
    <x v="0"/>
    <x v="7"/>
    <s v="CMTA01"/>
    <x v="56"/>
    <n v="3.4628000000000001"/>
    <n v="17.07"/>
    <n v="1"/>
    <n v="16.691700000000001"/>
    <n v="56"/>
    <n v="0.43"/>
    <n v="1.8966666666666669"/>
    <n v="2277.896666666667"/>
    <x v="0"/>
  </r>
  <r>
    <x v="0"/>
    <x v="0"/>
    <x v="20"/>
    <s v="T8"/>
    <x v="55"/>
    <n v="3.3622000000000001"/>
    <n v="14.31"/>
    <n v="1"/>
    <n v="7.1207000000000003"/>
    <n v="39.114199999999997"/>
    <n v="0.42"/>
    <n v="2.3849999999999998"/>
    <n v="2864.3850000000002"/>
    <x v="0"/>
  </r>
  <r>
    <x v="1"/>
    <x v="0"/>
    <x v="10"/>
    <s v="CMTA07"/>
    <x v="53"/>
    <n v="3.3527999999999998"/>
    <n v="147"/>
    <n v="1"/>
    <n v="49.905799999999999"/>
    <n v="183.81100000000001"/>
    <n v="0.42"/>
    <n v="16.333333333333329"/>
    <n v="19616.333333333328"/>
    <x v="0"/>
  </r>
  <r>
    <x v="0"/>
    <x v="0"/>
    <x v="1"/>
    <s v="T14"/>
    <x v="56"/>
    <n v="3.3208000000000002"/>
    <n v="14.97"/>
    <n v="1"/>
    <n v="6.1055000000000001"/>
    <n v="74.135599999999997"/>
    <n v="0.42"/>
    <n v="2.4950000000000001"/>
    <n v="2996.4949999999999"/>
    <x v="0"/>
  </r>
  <r>
    <x v="0"/>
    <x v="0"/>
    <x v="9"/>
    <s v="T6"/>
    <x v="51"/>
    <n v="3.03"/>
    <n v="7.72"/>
    <n v="1"/>
    <n v="6.7610000000000001"/>
    <n v="16.167999999999999"/>
    <n v="0.38"/>
    <n v="1.2866666666666671"/>
    <n v="1545.2866666666671"/>
    <x v="0"/>
  </r>
  <r>
    <x v="1"/>
    <x v="0"/>
    <x v="12"/>
    <s v="CMTA10"/>
    <x v="55"/>
    <n v="2.9944000000000002"/>
    <n v="42.52"/>
    <n v="1"/>
    <n v="17.834900000000001"/>
    <n v="97.692999999999998"/>
    <n v="0.37"/>
    <n v="4.7244444444444449"/>
    <n v="5674.057777777778"/>
    <x v="0"/>
  </r>
  <r>
    <x v="0"/>
    <x v="0"/>
    <x v="1"/>
    <s v="T14"/>
    <x v="51"/>
    <n v="2.9639000000000002"/>
    <n v="10.95"/>
    <n v="1"/>
    <n v="5.0213000000000001"/>
    <n v="34.7806"/>
    <n v="0.37"/>
    <n v="1.825"/>
    <n v="2191.8249999999998"/>
    <x v="0"/>
  </r>
  <r>
    <x v="0"/>
    <x v="0"/>
    <x v="21"/>
    <s v="T11"/>
    <x v="54"/>
    <n v="2.9481000000000002"/>
    <n v="12.08"/>
    <n v="1"/>
    <n v="5.5613999999999999"/>
    <n v="38.2438"/>
    <n v="0.37"/>
    <n v="2.0133333333333332"/>
    <n v="2418.0133333333329"/>
    <x v="0"/>
  </r>
  <r>
    <x v="0"/>
    <x v="0"/>
    <x v="8"/>
    <s v="T7"/>
    <x v="52"/>
    <n v="2.9363999999999999"/>
    <n v="9.73"/>
    <n v="1"/>
    <n v="4.7773000000000003"/>
    <n v="14.056699999999999"/>
    <n v="0.37"/>
    <n v="1.621666666666667"/>
    <n v="1947.6216666666669"/>
    <x v="0"/>
  </r>
  <r>
    <x v="0"/>
    <x v="0"/>
    <x v="13"/>
    <s v="T5"/>
    <x v="56"/>
    <n v="2.8593999999999999"/>
    <n v="12.79"/>
    <n v="1"/>
    <n v="5.1558000000000002"/>
    <n v="29.594999999999999"/>
    <n v="0.36"/>
    <n v="2.1316666666666659"/>
    <n v="2560.1316666666662"/>
    <x v="0"/>
  </r>
  <r>
    <x v="0"/>
    <x v="0"/>
    <x v="21"/>
    <s v="T11"/>
    <x v="52"/>
    <n v="2.7650000000000001"/>
    <n v="6.05"/>
    <n v="1"/>
    <n v="5.5338000000000003"/>
    <n v="18.094000000000001"/>
    <n v="0.35"/>
    <n v="1.0083333333333331"/>
    <n v="1211.008333333333"/>
    <x v="0"/>
  </r>
  <r>
    <x v="1"/>
    <x v="0"/>
    <x v="12"/>
    <s v="CMTA10"/>
    <x v="51"/>
    <n v="2.7572000000000001"/>
    <n v="34.51"/>
    <n v="1"/>
    <n v="20.0379"/>
    <n v="95.303899999999999"/>
    <n v="0.34"/>
    <n v="3.8344444444444439"/>
    <n v="4605.1677777777777"/>
    <x v="0"/>
  </r>
  <r>
    <x v="1"/>
    <x v="0"/>
    <x v="14"/>
    <s v="CMTA08"/>
    <x v="56"/>
    <n v="2.6856"/>
    <n v="39.65"/>
    <n v="1"/>
    <n v="28.892700000000001"/>
    <n v="110.0001"/>
    <n v="0.34"/>
    <n v="4.405555555555555"/>
    <n v="5291.0722222222212"/>
    <x v="0"/>
  </r>
  <r>
    <x v="0"/>
    <x v="0"/>
    <x v="8"/>
    <s v="T7"/>
    <x v="56"/>
    <n v="2.3405999999999998"/>
    <n v="7.95"/>
    <n v="1"/>
    <n v="5.9680999999999997"/>
    <n v="18.353300000000001"/>
    <n v="0.28999999999999998"/>
    <n v="1.325"/>
    <n v="1591.325"/>
    <x v="0"/>
  </r>
  <r>
    <x v="0"/>
    <x v="0"/>
    <x v="2"/>
    <s v="T13"/>
    <x v="56"/>
    <n v="2.3119000000000001"/>
    <n v="5.6"/>
    <n v="1"/>
    <n v="4.1463000000000001"/>
    <n v="15.779"/>
    <n v="0.28999999999999998"/>
    <n v="0.93333333333333324"/>
    <n v="1120.9333333333329"/>
    <x v="0"/>
  </r>
  <r>
    <x v="1"/>
    <x v="0"/>
    <x v="11"/>
    <s v="CMTA11"/>
    <x v="57"/>
    <n v="2.2397"/>
    <n v="34.97"/>
    <n v="1"/>
    <n v="27.207100000000001"/>
    <n v="95"/>
    <n v="0.28000000000000003"/>
    <n v="3.885555555555555"/>
    <n v="4666.5522222222216"/>
    <x v="0"/>
  </r>
  <r>
    <x v="1"/>
    <x v="0"/>
    <x v="11"/>
    <s v="CMTA11"/>
    <x v="53"/>
    <n v="2.1922000000000001"/>
    <n v="36.93"/>
    <n v="1"/>
    <n v="24.840599999999998"/>
    <n v="91.000100000000003"/>
    <n v="0.27"/>
    <n v="4.1033333333333326"/>
    <n v="4928.1033333333326"/>
    <x v="0"/>
  </r>
  <r>
    <x v="0"/>
    <x v="0"/>
    <x v="20"/>
    <s v="T8"/>
    <x v="56"/>
    <n v="2.1543999999999999"/>
    <n v="7.73"/>
    <n v="1"/>
    <n v="6.8207000000000004"/>
    <n v="33.428600000000003"/>
    <n v="0.27"/>
    <n v="1.2883333333333331"/>
    <n v="1547.288333333333"/>
    <x v="0"/>
  </r>
  <r>
    <x v="0"/>
    <x v="0"/>
    <x v="21"/>
    <s v="T11"/>
    <x v="56"/>
    <n v="2.1002999999999998"/>
    <n v="11.53"/>
    <n v="1"/>
    <n v="7.0126999999999997"/>
    <n v="22.575900000000001"/>
    <n v="0.26"/>
    <n v="1.9216666666666671"/>
    <n v="2307.9216666666671"/>
    <x v="0"/>
  </r>
  <r>
    <x v="0"/>
    <x v="0"/>
    <x v="1"/>
    <s v="T14"/>
    <x v="52"/>
    <n v="2.0811000000000002"/>
    <n v="19.82"/>
    <n v="1"/>
    <n v="13.493399999999999"/>
    <n v="40.558799999999998"/>
    <n v="0.26"/>
    <n v="3.3033333333333328"/>
    <n v="3967.3033333333328"/>
    <x v="0"/>
  </r>
  <r>
    <x v="1"/>
    <x v="0"/>
    <x v="7"/>
    <s v="CMTA01"/>
    <x v="55"/>
    <n v="1.5647"/>
    <n v="15.55"/>
    <n v="1"/>
    <n v="14.417"/>
    <n v="67.505399999999995"/>
    <n v="0.2"/>
    <n v="1.7277777777777781"/>
    <n v="2075.0611111111111"/>
    <x v="0"/>
  </r>
  <r>
    <x v="0"/>
    <x v="0"/>
    <x v="2"/>
    <s v="T13"/>
    <x v="54"/>
    <n v="1.5414000000000001"/>
    <n v="6.9"/>
    <n v="1"/>
    <n v="7.3573000000000004"/>
    <n v="20.094200000000001"/>
    <n v="0.19"/>
    <n v="1.1499999999999999"/>
    <n v="1381.15"/>
    <x v="0"/>
  </r>
  <r>
    <x v="0"/>
    <x v="0"/>
    <x v="2"/>
    <s v="T13"/>
    <x v="52"/>
    <n v="1.4782999999999999"/>
    <n v="9.66"/>
    <n v="1"/>
    <n v="9.8444000000000003"/>
    <n v="25.353899999999999"/>
    <n v="0.18"/>
    <n v="1.61"/>
    <n v="1933.61"/>
    <x v="0"/>
  </r>
  <r>
    <x v="1"/>
    <x v="0"/>
    <x v="7"/>
    <s v="CMTA01"/>
    <x v="51"/>
    <n v="1.4221999999999999"/>
    <n v="11.39"/>
    <n v="1"/>
    <n v="13.3407"/>
    <n v="124.95440000000001"/>
    <n v="0.18"/>
    <n v="1.265555555555556"/>
    <n v="1519.932222222222"/>
    <x v="0"/>
  </r>
  <r>
    <x v="1"/>
    <x v="0"/>
    <x v="7"/>
    <s v="CMTA01"/>
    <x v="52"/>
    <n v="1.3911"/>
    <n v="12.1"/>
    <n v="1"/>
    <n v="14.4977"/>
    <n v="59.282499999999999"/>
    <n v="0.17"/>
    <n v="1.3444444444444441"/>
    <n v="1614.6777777777779"/>
    <x v="0"/>
  </r>
  <r>
    <x v="1"/>
    <x v="0"/>
    <x v="7"/>
    <s v="CMTA01"/>
    <x v="54"/>
    <n v="1.2588999999999999"/>
    <n v="18.47"/>
    <n v="1"/>
    <n v="18.209700000000002"/>
    <n v="73.000100000000003"/>
    <n v="0.16"/>
    <n v="2.0522222222222219"/>
    <n v="2464.7188888888891"/>
    <x v="0"/>
  </r>
  <r>
    <x v="0"/>
    <x v="0"/>
    <x v="2"/>
    <s v="T13"/>
    <x v="55"/>
    <n v="1.0808"/>
    <n v="6.5"/>
    <n v="1"/>
    <n v="7.0829000000000004"/>
    <n v="14.612299999999999"/>
    <n v="0.14000000000000001"/>
    <n v="1.083333333333333"/>
    <n v="1301.083333333333"/>
    <x v="0"/>
  </r>
  <r>
    <x v="0"/>
    <x v="0"/>
    <x v="9"/>
    <s v="T6"/>
    <x v="52"/>
    <n v="0.98470000000000002"/>
    <n v="5.71"/>
    <n v="1"/>
    <n v="7.5796999999999999"/>
    <n v="57.7639"/>
    <n v="0.12"/>
    <n v="0.95166666666666666"/>
    <n v="1142.9516666666671"/>
    <x v="0"/>
  </r>
  <r>
    <x v="0"/>
    <x v="0"/>
    <x v="2"/>
    <s v="T13"/>
    <x v="51"/>
    <n v="0.83220000000000005"/>
    <n v="2.68"/>
    <n v="1"/>
    <n v="7.4059999999999997"/>
    <n v="23"/>
    <n v="0.1"/>
    <n v="0.44666666666666671"/>
    <n v="536.44666666666672"/>
    <x v="0"/>
  </r>
  <r>
    <x v="0"/>
    <x v="0"/>
    <x v="0"/>
    <s v="T4"/>
    <x v="56"/>
    <n v="0.77529999999999999"/>
    <n v="9.14"/>
    <n v="1"/>
    <n v="14.165100000000001"/>
    <n v="31.446999999999999"/>
    <n v="0.1"/>
    <n v="1.523333333333333"/>
    <n v="1829.523333333334"/>
    <x v="0"/>
  </r>
  <r>
    <x v="1"/>
    <x v="0"/>
    <x v="14"/>
    <s v="CMTA08"/>
    <x v="52"/>
    <n v="0.76559999999999995"/>
    <n v="17.02"/>
    <n v="1"/>
    <n v="29.246300000000002"/>
    <n v="85.395700000000005"/>
    <n v="0.1"/>
    <n v="1.891111111111111"/>
    <n v="2271.2244444444441"/>
    <x v="0"/>
  </r>
  <r>
    <x v="1"/>
    <x v="0"/>
    <x v="14"/>
    <s v="CMTA08"/>
    <x v="57"/>
    <n v="0.46639999999999998"/>
    <n v="13.75"/>
    <n v="1"/>
    <n v="34.5899"/>
    <n v="96.952200000000005"/>
    <n v="0.06"/>
    <n v="1.5277777777777779"/>
    <n v="1834.8611111111111"/>
    <x v="0"/>
  </r>
  <r>
    <x v="1"/>
    <x v="0"/>
    <x v="12"/>
    <s v="CMTA10"/>
    <x v="53"/>
    <n v="8.5599999999999996E-2"/>
    <n v="0.48"/>
    <n v="0"/>
    <n v="9.3714999999999993"/>
    <n v="24.0001"/>
    <n v="0.01"/>
    <n v="5.333333333333333E-2"/>
    <n v="64.053333333333327"/>
    <x v="0"/>
  </r>
  <r>
    <x v="1"/>
    <x v="0"/>
    <x v="10"/>
    <s v="CMTA07"/>
    <x v="57"/>
    <n v="6.5799999999999997E-2"/>
    <n v="0.27"/>
    <n v="0"/>
    <n v="13.224399999999999"/>
    <n v="121.3616"/>
    <n v="0.01"/>
    <n v="0.03"/>
    <n v="36.03"/>
    <x v="0"/>
  </r>
  <r>
    <x v="1"/>
    <x v="0"/>
    <x v="14"/>
    <s v="CMTA08"/>
    <x v="55"/>
    <n v="5.9400000000000001E-2"/>
    <n v="0.85"/>
    <n v="0"/>
    <n v="18.598800000000001"/>
    <n v="61.000100000000003"/>
    <n v="0.01"/>
    <n v="9.4444444444444442E-2"/>
    <n v="113.42777777777781"/>
    <x v="0"/>
  </r>
  <r>
    <x v="0"/>
    <x v="0"/>
    <x v="15"/>
    <s v="T9"/>
    <x v="55"/>
    <n v="2.86E-2"/>
    <n v="1.61"/>
    <n v="1"/>
    <n v="9.1089000000000002"/>
    <n v="80.395300000000006"/>
    <n v="0"/>
    <n v="0.26833333333333342"/>
    <n v="322.26833333333337"/>
    <x v="0"/>
  </r>
  <r>
    <x v="0"/>
    <x v="0"/>
    <x v="0"/>
    <s v="T4"/>
    <x v="55"/>
    <n v="2.6100000000000002E-2"/>
    <n v="0"/>
    <n v="0"/>
    <n v="0"/>
    <n v="0"/>
    <n v="0"/>
    <n v="0"/>
    <n v="0"/>
    <x v="0"/>
  </r>
  <r>
    <x v="0"/>
    <x v="0"/>
    <x v="5"/>
    <s v="T10"/>
    <x v="56"/>
    <n v="5.0000000000000001E-3"/>
    <n v="0.01"/>
    <n v="0"/>
    <n v="3.6236999999999999"/>
    <n v="9.1674000000000007"/>
    <n v="0"/>
    <n v="1.666666666666667E-3"/>
    <n v="2.0016666666666669"/>
    <x v="0"/>
  </r>
  <r>
    <x v="1"/>
    <x v="1"/>
    <x v="16"/>
    <s v="CMTA03"/>
    <x v="54"/>
    <n v="0"/>
    <n v="45.17"/>
    <n v="1"/>
    <n v="34.823099999999997"/>
    <n v="97"/>
    <n v="0"/>
    <n v="4.1063636363636364"/>
    <n v="6364.863636363636"/>
    <x v="0"/>
  </r>
  <r>
    <x v="1"/>
    <x v="0"/>
    <x v="17"/>
    <s v="CMTA02"/>
    <x v="55"/>
    <n v="0"/>
    <n v="34.68"/>
    <n v="1"/>
    <n v="27.188800000000001"/>
    <n v="90"/>
    <n v="0"/>
    <n v="3.8533333333333331"/>
    <n v="4627.8533333333326"/>
    <x v="0"/>
  </r>
  <r>
    <x v="1"/>
    <x v="1"/>
    <x v="19"/>
    <s v="CMTA05"/>
    <x v="54"/>
    <n v="0"/>
    <n v="53.02"/>
    <n v="1"/>
    <n v="17.432099999999998"/>
    <n v="64.542199999999994"/>
    <n v="0"/>
    <n v="4.82"/>
    <n v="7471"/>
    <x v="0"/>
  </r>
  <r>
    <x v="1"/>
    <x v="0"/>
    <x v="12"/>
    <s v="CMTA10"/>
    <x v="57"/>
    <n v="0"/>
    <n v="0.01"/>
    <n v="0"/>
    <n v="7.5284000000000004"/>
    <n v="14.4826"/>
    <n v="0"/>
    <n v="1.1111111111111109E-3"/>
    <n v="1.334444444444445"/>
    <x v="0"/>
  </r>
  <r>
    <x v="0"/>
    <x v="0"/>
    <x v="0"/>
    <s v="T4"/>
    <x v="53"/>
    <n v="0"/>
    <n v="0.01"/>
    <n v="0"/>
    <n v="12.1121"/>
    <n v="12.1121"/>
    <n v="0"/>
    <n v="1.666666666666667E-3"/>
    <n v="2.0016666666666669"/>
    <x v="0"/>
  </r>
  <r>
    <x v="1"/>
    <x v="1"/>
    <x v="19"/>
    <s v="CMTA05"/>
    <x v="51"/>
    <n v="0"/>
    <n v="34.31"/>
    <n v="1"/>
    <n v="13.186199999999999"/>
    <n v="41.614400000000003"/>
    <n v="0"/>
    <n v="3.1190909090909091"/>
    <n v="4834.590909090909"/>
    <x v="0"/>
  </r>
  <r>
    <x v="1"/>
    <x v="1"/>
    <x v="18"/>
    <s v="CMTA04"/>
    <x v="56"/>
    <n v="0"/>
    <n v="91.83"/>
    <n v="1"/>
    <n v="32.265700000000002"/>
    <n v="94.000100000000003"/>
    <n v="0"/>
    <n v="8.3481818181818177"/>
    <n v="12939.68181818182"/>
    <x v="0"/>
  </r>
  <r>
    <x v="1"/>
    <x v="1"/>
    <x v="19"/>
    <s v="CMTA05"/>
    <x v="56"/>
    <n v="0"/>
    <n v="39.86"/>
    <n v="1"/>
    <n v="18.725100000000001"/>
    <n v="89.000100000000003"/>
    <n v="0"/>
    <n v="3.623636363636364"/>
    <n v="5616.6363636363631"/>
    <x v="0"/>
  </r>
  <r>
    <x v="1"/>
    <x v="1"/>
    <x v="18"/>
    <s v="CMTA04"/>
    <x v="52"/>
    <n v="0"/>
    <n v="6.56"/>
    <n v="1"/>
    <n v="36.138399999999997"/>
    <n v="77"/>
    <n v="0"/>
    <n v="0.59636363636363632"/>
    <n v="924.36363636363626"/>
    <x v="0"/>
  </r>
  <r>
    <x v="1"/>
    <x v="1"/>
    <x v="19"/>
    <s v="CMTA05"/>
    <x v="52"/>
    <n v="0"/>
    <n v="42.81"/>
    <n v="1"/>
    <n v="21.351800000000001"/>
    <n v="80.000100000000003"/>
    <n v="0"/>
    <n v="3.8918181818181821"/>
    <n v="6032.318181818182"/>
    <x v="0"/>
  </r>
  <r>
    <x v="1"/>
    <x v="1"/>
    <x v="16"/>
    <s v="CMTA03"/>
    <x v="56"/>
    <n v="0"/>
    <n v="77.58"/>
    <n v="1"/>
    <n v="35.806600000000003"/>
    <n v="113"/>
    <n v="0"/>
    <n v="7.0527272727272727"/>
    <n v="10931.72727272727"/>
    <x v="0"/>
  </r>
  <r>
    <x v="1"/>
    <x v="1"/>
    <x v="16"/>
    <s v="CMTA03"/>
    <x v="52"/>
    <n v="0"/>
    <n v="65.430000000000007"/>
    <n v="1"/>
    <n v="35.664700000000003"/>
    <n v="105.0001"/>
    <n v="0"/>
    <n v="5.9481818181818191"/>
    <n v="9219.6818181818198"/>
    <x v="0"/>
  </r>
  <r>
    <x v="0"/>
    <x v="0"/>
    <x v="9"/>
    <s v="T6"/>
    <x v="54"/>
    <n v="0"/>
    <n v="0.01"/>
    <n v="0"/>
    <n v="16.056799999999999"/>
    <n v="16.056799999999999"/>
    <n v="0"/>
    <n v="1.666666666666667E-3"/>
    <n v="2.0016666666666669"/>
    <x v="0"/>
  </r>
  <r>
    <x v="1"/>
    <x v="1"/>
    <x v="18"/>
    <s v="CMTA04"/>
    <x v="51"/>
    <n v="0"/>
    <n v="69.64"/>
    <n v="1"/>
    <n v="30.124300000000002"/>
    <n v="80.000100000000003"/>
    <n v="0"/>
    <n v="6.330909090909091"/>
    <n v="9812.9090909090919"/>
    <x v="0"/>
  </r>
  <r>
    <x v="1"/>
    <x v="1"/>
    <x v="16"/>
    <s v="CMTA03"/>
    <x v="53"/>
    <n v="0"/>
    <n v="11.67"/>
    <n v="1"/>
    <n v="31.475999999999999"/>
    <n v="76.061599999999999"/>
    <n v="0"/>
    <n v="1.060909090909091"/>
    <n v="1644.409090909091"/>
    <x v="0"/>
  </r>
  <r>
    <x v="1"/>
    <x v="1"/>
    <x v="18"/>
    <s v="CMTA04"/>
    <x v="54"/>
    <n v="0"/>
    <n v="1.17"/>
    <n v="1"/>
    <n v="7.9218999999999999"/>
    <n v="33"/>
    <n v="0"/>
    <n v="0.1063636363636364"/>
    <n v="164.86363636363629"/>
    <x v="0"/>
  </r>
  <r>
    <x v="1"/>
    <x v="1"/>
    <x v="16"/>
    <s v="CMTA03"/>
    <x v="55"/>
    <n v="0"/>
    <n v="49.07"/>
    <n v="1"/>
    <n v="39.300600000000003"/>
    <n v="115.0001"/>
    <n v="0"/>
    <n v="4.4609090909090909"/>
    <n v="6914.409090909091"/>
    <x v="0"/>
  </r>
  <r>
    <x v="1"/>
    <x v="1"/>
    <x v="16"/>
    <s v="CMTA03"/>
    <x v="51"/>
    <n v="0"/>
    <n v="28.72"/>
    <n v="1"/>
    <n v="30.760899999999999"/>
    <n v="84.000100000000003"/>
    <n v="0"/>
    <n v="2.6109090909090908"/>
    <n v="4046.909090909091"/>
    <x v="0"/>
  </r>
  <r>
    <x v="1"/>
    <x v="1"/>
    <x v="18"/>
    <s v="CMTA04"/>
    <x v="57"/>
    <n v="0"/>
    <n v="15.13"/>
    <n v="1"/>
    <n v="25.984400000000001"/>
    <n v="69"/>
    <n v="0"/>
    <n v="1.375454545454545"/>
    <n v="2131.954545454545"/>
    <x v="0"/>
  </r>
  <r>
    <x v="1"/>
    <x v="1"/>
    <x v="18"/>
    <s v="CMTA04"/>
    <x v="53"/>
    <n v="0"/>
    <n v="0.41"/>
    <n v="0"/>
    <n v="7.8155000000000001"/>
    <n v="28"/>
    <n v="0"/>
    <n v="3.727272727272727E-2"/>
    <n v="57.772727272727273"/>
    <x v="0"/>
  </r>
  <r>
    <x v="1"/>
    <x v="0"/>
    <x v="17"/>
    <s v="CMTA02"/>
    <x v="52"/>
    <n v="0"/>
    <n v="38.82"/>
    <n v="1"/>
    <n v="24.913900000000002"/>
    <n v="92"/>
    <n v="0"/>
    <n v="4.3133333333333326"/>
    <n v="5180.3133333333344"/>
    <x v="0"/>
  </r>
  <r>
    <x v="1"/>
    <x v="1"/>
    <x v="19"/>
    <s v="CMTA05"/>
    <x v="55"/>
    <n v="0"/>
    <n v="99.78"/>
    <n v="1"/>
    <n v="29.925599999999999"/>
    <n v="93.229699999999994"/>
    <n v="0"/>
    <n v="9.0709090909090904"/>
    <n v="14059.90909090909"/>
    <x v="0"/>
  </r>
  <r>
    <x v="1"/>
    <x v="1"/>
    <x v="18"/>
    <s v="CMTA04"/>
    <x v="55"/>
    <n v="0"/>
    <n v="0.01"/>
    <n v="0"/>
    <n v="4.1715999999999998"/>
    <n v="11.334199999999999"/>
    <n v="0"/>
    <n v="9.0909090909090909E-4"/>
    <n v="1.4090909090909089"/>
    <x v="0"/>
  </r>
  <r>
    <x v="1"/>
    <x v="1"/>
    <x v="16"/>
    <s v="CMTA03"/>
    <x v="57"/>
    <n v="0"/>
    <n v="97.22"/>
    <n v="1"/>
    <n v="43.018900000000002"/>
    <n v="117.9909"/>
    <n v="0"/>
    <n v="8.8381818181818179"/>
    <n v="13699.18181818182"/>
    <x v="0"/>
  </r>
  <r>
    <x v="1"/>
    <x v="0"/>
    <x v="17"/>
    <s v="CMTA02"/>
    <x v="54"/>
    <n v="0"/>
    <n v="40.89"/>
    <n v="1"/>
    <n v="22.052299999999999"/>
    <n v="97.396699999999996"/>
    <n v="0"/>
    <n v="4.543333333333333"/>
    <n v="5456.543333333333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25300"/>
    <x v="0"/>
    <m/>
  </r>
  <r>
    <x v="1"/>
    <x v="0"/>
    <n v="12500"/>
    <x v="1"/>
    <m/>
  </r>
  <r>
    <x v="0"/>
    <x v="1"/>
    <n v="25300"/>
    <x v="0"/>
    <m/>
  </r>
  <r>
    <x v="1"/>
    <x v="1"/>
    <n v="12500"/>
    <x v="1"/>
    <m/>
  </r>
  <r>
    <x v="0"/>
    <x v="2"/>
    <n v="25300"/>
    <x v="0"/>
    <m/>
  </r>
  <r>
    <x v="1"/>
    <x v="2"/>
    <n v="12500"/>
    <x v="1"/>
    <m/>
  </r>
  <r>
    <x v="0"/>
    <x v="3"/>
    <n v="25300"/>
    <x v="0"/>
    <m/>
  </r>
  <r>
    <x v="1"/>
    <x v="3"/>
    <n v="12500"/>
    <x v="1"/>
    <m/>
  </r>
  <r>
    <x v="0"/>
    <x v="4"/>
    <n v="25300"/>
    <x v="0"/>
    <m/>
  </r>
  <r>
    <x v="1"/>
    <x v="4"/>
    <n v="12500"/>
    <x v="1"/>
    <m/>
  </r>
  <r>
    <x v="0"/>
    <x v="5"/>
    <n v="25300"/>
    <x v="0"/>
    <m/>
  </r>
  <r>
    <x v="1"/>
    <x v="5"/>
    <n v="12500"/>
    <x v="1"/>
    <m/>
  </r>
  <r>
    <x v="0"/>
    <x v="6"/>
    <n v="25300"/>
    <x v="0"/>
    <m/>
  </r>
  <r>
    <x v="1"/>
    <x v="6"/>
    <n v="12500"/>
    <x v="1"/>
    <m/>
  </r>
  <r>
    <x v="0"/>
    <x v="7"/>
    <n v="25300"/>
    <x v="0"/>
    <m/>
  </r>
  <r>
    <x v="1"/>
    <x v="7"/>
    <n v="12500"/>
    <x v="1"/>
    <m/>
  </r>
  <r>
    <x v="0"/>
    <x v="8"/>
    <n v="25300"/>
    <x v="0"/>
    <m/>
  </r>
  <r>
    <x v="1"/>
    <x v="8"/>
    <n v="12500"/>
    <x v="1"/>
    <m/>
  </r>
  <r>
    <x v="0"/>
    <x v="9"/>
    <n v="25300"/>
    <x v="0"/>
    <m/>
  </r>
  <r>
    <x v="1"/>
    <x v="9"/>
    <n v="12500"/>
    <x v="1"/>
    <m/>
  </r>
  <r>
    <x v="0"/>
    <x v="10"/>
    <n v="25300"/>
    <x v="0"/>
    <m/>
  </r>
  <r>
    <x v="1"/>
    <x v="10"/>
    <n v="12500"/>
    <x v="1"/>
    <m/>
  </r>
  <r>
    <x v="0"/>
    <x v="11"/>
    <n v="25300"/>
    <x v="0"/>
    <m/>
  </r>
  <r>
    <x v="1"/>
    <x v="11"/>
    <n v="12500"/>
    <x v="1"/>
    <m/>
  </r>
  <r>
    <x v="0"/>
    <x v="12"/>
    <n v="25300"/>
    <x v="0"/>
    <m/>
  </r>
  <r>
    <x v="1"/>
    <x v="12"/>
    <n v="12500"/>
    <x v="1"/>
    <m/>
  </r>
  <r>
    <x v="0"/>
    <x v="13"/>
    <n v="25300"/>
    <x v="0"/>
    <m/>
  </r>
  <r>
    <x v="1"/>
    <x v="13"/>
    <n v="12500"/>
    <x v="1"/>
    <m/>
  </r>
  <r>
    <x v="0"/>
    <x v="14"/>
    <n v="25300"/>
    <x v="0"/>
    <m/>
  </r>
  <r>
    <x v="0"/>
    <x v="15"/>
    <n v="25300"/>
    <x v="0"/>
    <m/>
  </r>
  <r>
    <x v="1"/>
    <x v="15"/>
    <n v="232996"/>
    <x v="2"/>
    <m/>
  </r>
  <r>
    <x v="1"/>
    <x v="15"/>
    <n v="12500"/>
    <x v="1"/>
    <m/>
  </r>
  <r>
    <x v="0"/>
    <x v="16"/>
    <n v="25300"/>
    <x v="0"/>
    <m/>
  </r>
  <r>
    <x v="1"/>
    <x v="16"/>
    <n v="12500"/>
    <x v="1"/>
    <m/>
  </r>
  <r>
    <x v="0"/>
    <x v="17"/>
    <n v="25300"/>
    <x v="0"/>
    <m/>
  </r>
  <r>
    <x v="1"/>
    <x v="17"/>
    <n v="12500"/>
    <x v="1"/>
    <m/>
  </r>
  <r>
    <x v="0"/>
    <x v="18"/>
    <n v="25300"/>
    <x v="0"/>
    <m/>
  </r>
  <r>
    <x v="1"/>
    <x v="18"/>
    <n v="82799"/>
    <x v="2"/>
    <m/>
  </r>
  <r>
    <x v="1"/>
    <x v="18"/>
    <n v="12500"/>
    <x v="1"/>
    <m/>
  </r>
  <r>
    <x v="0"/>
    <x v="19"/>
    <n v="25300"/>
    <x v="0"/>
    <m/>
  </r>
  <r>
    <x v="1"/>
    <x v="19"/>
    <n v="12500"/>
    <x v="1"/>
    <m/>
  </r>
  <r>
    <x v="1"/>
    <x v="19"/>
    <n v="35000"/>
    <x v="3"/>
    <m/>
  </r>
  <r>
    <x v="1"/>
    <x v="19"/>
    <n v="35000"/>
    <x v="3"/>
    <m/>
  </r>
  <r>
    <x v="0"/>
    <x v="20"/>
    <n v="25300"/>
    <x v="0"/>
    <m/>
  </r>
  <r>
    <x v="1"/>
    <x v="20"/>
    <n v="82799"/>
    <x v="2"/>
    <m/>
  </r>
  <r>
    <x v="1"/>
    <x v="20"/>
    <n v="12500"/>
    <x v="1"/>
    <m/>
  </r>
  <r>
    <x v="1"/>
    <x v="20"/>
    <n v="35000"/>
    <x v="3"/>
    <m/>
  </r>
  <r>
    <x v="2"/>
    <x v="1"/>
    <n v="64874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E25" firstHeaderRow="1" firstDataRow="2" firstDataCol="1"/>
  <pivotFields count="16">
    <pivotField showAll="0">
      <items count="3">
        <item x="1"/>
        <item x="0"/>
        <item t="default"/>
      </items>
    </pivotField>
    <pivotField showAll="0"/>
    <pivotField axis="axisRow" showAll="0">
      <items count="23">
        <item x="11"/>
        <item x="7"/>
        <item x="12"/>
        <item x="14"/>
        <item x="10"/>
        <item x="17"/>
        <item x="5"/>
        <item x="21"/>
        <item x="6"/>
        <item x="2"/>
        <item x="1"/>
        <item x="0"/>
        <item x="13"/>
        <item x="9"/>
        <item x="8"/>
        <item x="20"/>
        <item x="15"/>
        <item x="3"/>
        <item x="4"/>
        <item x="19"/>
        <item x="18"/>
        <item x="16"/>
        <item t="default"/>
      </items>
    </pivotField>
    <pivotField showAll="0"/>
    <pivotField dataField="1" numFmtId="14" showAll="0">
      <items count="59">
        <item x="1"/>
        <item x="8"/>
        <item x="9"/>
        <item x="0"/>
        <item x="2"/>
        <item x="3"/>
        <item x="6"/>
        <item x="7"/>
        <item x="4"/>
        <item x="5"/>
        <item x="10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4"/>
        <item x="36"/>
        <item x="38"/>
        <item x="39"/>
        <item x="40"/>
        <item x="37"/>
        <item x="43"/>
        <item x="42"/>
        <item x="41"/>
        <item x="45"/>
        <item x="44"/>
        <item x="46"/>
        <item x="48"/>
        <item x="49"/>
        <item x="50"/>
        <item x="47"/>
        <item x="56"/>
        <item x="51"/>
        <item x="53"/>
        <item x="57"/>
        <item x="55"/>
        <item x="54"/>
        <item x="52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65" showAll="0"/>
    <pivotField dataField="1" numFmtId="164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" fld="4" subtotal="count" baseField="2" baseItem="10"/>
    <dataField name="Suma de Distancia (km)" fld="6" baseField="0" baseItem="0"/>
    <dataField name="Suma de PRECIO2" fld="12" showDataAs="percentOfTotal" baseField="2" baseItem="0" numFmtId="10"/>
    <dataField name="Suma de PRECIO" fld="12" baseField="0" baseItem="0" numFmtId="164"/>
  </dataFields>
  <formats count="4">
    <format dxfId="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3">
      <pivotArea outline="0" fieldPosition="0">
        <references count="1">
          <reference field="4294967294" count="1">
            <x v="2"/>
          </reference>
        </references>
      </pivotArea>
    </format>
    <format dxfId="32">
      <pivotArea collapsedLevelsAreSubtotals="1" fieldPosition="0">
        <references count="1">
          <reference field="2" count="0"/>
        </references>
      </pivotArea>
    </format>
  </formats>
  <pivotTableStyleInfo name="PivotStyleLight15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TablaDiná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8:G14" firstHeaderRow="1" firstDataRow="1" firstDataCol="1"/>
  <pivotFields count="16">
    <pivotField axis="axisRow" showAll="0" defaultSubtotal="0">
      <items count="2">
        <item x="1"/>
        <item x="0"/>
      </items>
    </pivotField>
    <pivotField axis="axisRow" showAll="0" defaultSubtotal="0">
      <items count="2">
        <item sd="0" x="1"/>
        <item sd="0" x="0"/>
      </items>
    </pivotField>
    <pivotField axis="axisRow" showAll="0" defaultSubtotal="0">
      <items count="22">
        <item x="11"/>
        <item x="7"/>
        <item x="12"/>
        <item x="14"/>
        <item x="10"/>
        <item x="17"/>
        <item x="5"/>
        <item x="21"/>
        <item x="6"/>
        <item x="2"/>
        <item x="1"/>
        <item x="0"/>
        <item x="13"/>
        <item x="9"/>
        <item x="8"/>
        <item x="20"/>
        <item x="15"/>
        <item x="3"/>
        <item x="4"/>
        <item x="19"/>
        <item x="18"/>
        <item x="16"/>
      </items>
    </pivotField>
    <pivotField showAll="0" defaultSubtotal="0"/>
    <pivotField showAll="0" defaultSubtotal="0">
      <items count="58">
        <item x="1"/>
        <item x="8"/>
        <item x="9"/>
        <item x="0"/>
        <item x="2"/>
        <item x="3"/>
        <item x="6"/>
        <item x="7"/>
        <item x="4"/>
        <item x="5"/>
        <item x="10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4"/>
        <item x="36"/>
        <item x="38"/>
        <item x="39"/>
        <item x="40"/>
        <item x="37"/>
        <item x="43"/>
        <item x="42"/>
        <item x="41"/>
        <item x="45"/>
        <item x="44"/>
        <item x="46"/>
        <item x="48"/>
        <item x="49"/>
        <item x="50"/>
        <item x="47"/>
        <item x="56"/>
        <item x="51"/>
        <item x="53"/>
        <item x="57"/>
        <item x="55"/>
        <item x="54"/>
        <item x="5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0"/>
    <field x="1"/>
    <field x="2"/>
  </rowFields>
  <rowItems count="6">
    <i>
      <x/>
    </i>
    <i r="1">
      <x/>
    </i>
    <i r="1">
      <x v="1"/>
    </i>
    <i>
      <x v="1"/>
    </i>
    <i r="1">
      <x v="1"/>
    </i>
    <i t="grand">
      <x/>
    </i>
  </rowItems>
  <colItems count="1">
    <i/>
  </colItems>
  <dataFields count="1">
    <dataField name="Suma de PRECIO" fld="12" baseField="0" baseItem="0" numFmtId="164"/>
  </dataFields>
  <formats count="10">
    <format dxfId="45">
      <pivotArea outline="0" collapsedLevelsAreSubtotals="1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0" type="button" dataOnly="0" labelOnly="1" outline="0" axis="axisRow" fieldPosition="0"/>
    </format>
    <format dxfId="40">
      <pivotArea dataOnly="0" labelOnly="1" fieldPosition="0">
        <references count="1">
          <reference field="0" count="0"/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37">
      <pivotArea dataOnly="0" labelOnly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36">
      <pivotArea dataOnly="0" labelOnly="1" outline="0" axis="axisValues" fieldPosition="0"/>
    </format>
  </formats>
  <pivotTableStyleInfo name="PivotStyleLight15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Diná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:G6" firstHeaderRow="1" firstDataRow="1" firstDataCol="1"/>
  <pivotFields count="16">
    <pivotField showAll="0"/>
    <pivotField showAll="0"/>
    <pivotField showAll="0"/>
    <pivotField showAll="0"/>
    <pivotField numFmtId="14" showAll="0">
      <items count="59">
        <item x="1"/>
        <item x="8"/>
        <item x="9"/>
        <item x="0"/>
        <item x="2"/>
        <item x="3"/>
        <item x="6"/>
        <item x="7"/>
        <item x="4"/>
        <item x="5"/>
        <item x="10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4"/>
        <item x="36"/>
        <item x="38"/>
        <item x="39"/>
        <item x="40"/>
        <item x="37"/>
        <item x="43"/>
        <item x="42"/>
        <item x="41"/>
        <item x="45"/>
        <item x="44"/>
        <item x="46"/>
        <item x="48"/>
        <item x="49"/>
        <item x="50"/>
        <item x="47"/>
        <item x="56"/>
        <item x="51"/>
        <item x="53"/>
        <item x="57"/>
        <item x="55"/>
        <item x="54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dataField="1" numFmtId="164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Suma de PRECIO" fld="12" baseField="0" baseItem="0" numFmtId="164"/>
  </dataFields>
  <pivotTableStyleInfo name="PivotStyleLight15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56BBA-8572-4A17-A2C2-3A7921D43B3D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6:G19" firstHeaderRow="1" firstDataRow="1" firstDataCol="1"/>
  <pivotFields count="16">
    <pivotField showAll="0">
      <items count="3">
        <item x="1"/>
        <item x="0"/>
        <item t="default"/>
      </items>
    </pivotField>
    <pivotField showAll="0"/>
    <pivotField axis="axisRow" showAll="0">
      <items count="23">
        <item x="11"/>
        <item x="7"/>
        <item x="12"/>
        <item x="14"/>
        <item x="10"/>
        <item x="17"/>
        <item x="5"/>
        <item x="21"/>
        <item x="6"/>
        <item x="2"/>
        <item x="1"/>
        <item x="0"/>
        <item x="13"/>
        <item x="9"/>
        <item x="8"/>
        <item x="20"/>
        <item x="15"/>
        <item x="3"/>
        <item x="4"/>
        <item x="19"/>
        <item x="18"/>
        <item x="16"/>
        <item t="default"/>
      </items>
    </pivotField>
    <pivotField showAll="0"/>
    <pivotField numFmtId="14" showAll="0">
      <items count="59">
        <item x="1"/>
        <item x="8"/>
        <item x="9"/>
        <item x="0"/>
        <item x="2"/>
        <item x="3"/>
        <item x="6"/>
        <item x="7"/>
        <item x="4"/>
        <item x="5"/>
        <item x="10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4"/>
        <item x="36"/>
        <item x="38"/>
        <item x="39"/>
        <item x="40"/>
        <item x="37"/>
        <item x="43"/>
        <item x="42"/>
        <item x="41"/>
        <item x="45"/>
        <item x="44"/>
        <item x="46"/>
        <item x="48"/>
        <item x="49"/>
        <item x="50"/>
        <item x="47"/>
        <item x="56"/>
        <item x="51"/>
        <item x="53"/>
        <item x="57"/>
        <item x="55"/>
        <item x="54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dataField="1" numFmtId="164" showAll="0"/>
    <pivotField axis="axisRow" showAll="0">
      <items count="3">
        <item sd="0" x="1"/>
        <item sd="0"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3"/>
    <field x="2"/>
  </rowFields>
  <rowItems count="3">
    <i>
      <x/>
    </i>
    <i>
      <x v="1"/>
    </i>
    <i t="grand">
      <x/>
    </i>
  </rowItems>
  <colItems count="1">
    <i/>
  </colItems>
  <dataFields count="1">
    <dataField name="Suma de PRECIO" fld="12" baseField="0" baseItem="0" numFmtId="164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0AE2E-079E-42C7-9749-B70B1D804A59}" name="TablaDiná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2:K24" firstHeaderRow="1" firstDataRow="1" firstDataCol="1"/>
  <pivotFields count="7">
    <pivotField numFmtId="14" showAll="0">
      <items count="4">
        <item x="1"/>
        <item x="0"/>
        <item x="2"/>
        <item t="default"/>
      </items>
    </pivotField>
    <pivotField axis="axisRow" showAll="0">
      <items count="22"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</pivotField>
    <pivotField dataField="1" numFmtId="3" showAll="0"/>
    <pivotField axis="axisRow" showAll="0">
      <items count="6">
        <item x="4"/>
        <item x="0"/>
        <item x="3"/>
        <item x="1"/>
        <item x="2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a de MONTO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Y22" totalsRowShown="0" headerRowDxfId="91" dataDxfId="89" headerRowBorderDxfId="90" tableBorderDxfId="88" totalsRowBorderDxfId="87">
  <autoFilter ref="A1:Y22" xr:uid="{00000000-0009-0000-0100-000001000000}"/>
  <sortState xmlns:xlrd2="http://schemas.microsoft.com/office/spreadsheetml/2017/richdata2" ref="A2:S22">
    <sortCondition descending="1" ref="S1:S22"/>
  </sortState>
  <tableColumns count="25">
    <tableColumn id="1" xr3:uid="{00000000-0010-0000-0000-000001000000}" name="TIPO VEHICULO" dataDxfId="86"/>
    <tableColumn id="12" xr3:uid="{00000000-0010-0000-0000-00000C000000}" name="UBICACIÓN" dataDxfId="85"/>
    <tableColumn id="9" xr3:uid="{00000000-0010-0000-0000-000009000000}" name="RESPONSABLE" dataDxfId="84">
      <calculatedColumnFormula>_xlfn.XLOOKUP(Tabla1[[#This Row],[MAQUINARIA]],Hoja3!A:A,Hoja3!C:C)</calculatedColumnFormula>
    </tableColumn>
    <tableColumn id="2" xr3:uid="{00000000-0010-0000-0000-000002000000}" name="MAQUINARIA" dataDxfId="83"/>
    <tableColumn id="3" xr3:uid="{00000000-0010-0000-0000-000003000000}" name="MARCA" dataDxfId="82"/>
    <tableColumn id="4" xr3:uid="{00000000-0010-0000-0000-000004000000}" name="MODELO" dataDxfId="81"/>
    <tableColumn id="5" xr3:uid="{00000000-0010-0000-0000-000005000000}" name="AÑO FABRICACIÓN" dataDxfId="80"/>
    <tableColumn id="6" xr3:uid="{00000000-0010-0000-0000-000006000000}" name="PATENTE" dataDxfId="79"/>
    <tableColumn id="16" xr3:uid="{00000000-0010-0000-0000-000010000000}" name="KM DE comienzo" dataDxfId="78">
      <calculatedColumnFormula>SUMIF(GPS!$D2:$D$1048576,Tabla1[[#This Row],[MAQUINARIA]],GPS!$G$2:$G$1048576)</calculatedColumnFormula>
    </tableColumn>
    <tableColumn id="17" xr3:uid="{00000000-0010-0000-0000-000011000000}" name="KM" dataDxfId="77"/>
    <tableColumn id="19" xr3:uid="{00000000-0010-0000-0000-000013000000}" name="KM ACTUAL" dataDxfId="76">
      <calculatedColumnFormula>Tabla1[[#This Row],[KM]]+SUMIF(GPS!$D$746:$D$1048570,Tabla1[[#This Row],[MAQUINARIA]],GPS!$G$746:$G$1048570)</calculatedColumnFormula>
    </tableColumn>
    <tableColumn id="7" xr3:uid="{00000000-0010-0000-0000-000007000000}" name="REVISION TECNICA" dataDxfId="75"/>
    <tableColumn id="8" xr3:uid="{00000000-0010-0000-0000-000008000000}" name="ESTADO DE RT" dataDxfId="74">
      <calculatedColumnFormula>IF(L2="-","-",L2-TODAY())</calculatedColumnFormula>
    </tableColumn>
    <tableColumn id="10" xr3:uid="{00000000-0010-0000-0000-00000A000000}" name="GASES Y CONTAMINANTES" dataDxfId="73">
      <calculatedColumnFormula>Tabla1[[#This Row],[REVISION TECNICA]]</calculatedColumnFormula>
    </tableColumn>
    <tableColumn id="11" xr3:uid="{00000000-0010-0000-0000-00000B000000}" name="ESTADO GASES" dataDxfId="72">
      <calculatedColumnFormula>IF(Tabla1[[#This Row],[GASES Y CONTAMINANTES]]="-","-",Tabla1[[#This Row],[GASES Y CONTAMINANTES]]-TODAY())</calculatedColumnFormula>
    </tableColumn>
    <tableColumn id="22" xr3:uid="{00000000-0010-0000-0000-000016000000}" name="PROXIMO Cambio de aceite" dataDxfId="71"/>
    <tableColumn id="21" xr3:uid="{00000000-0010-0000-0000-000015000000}" name="CAMBIO DE ACEITE" dataDxfId="70">
      <calculatedColumnFormula>IF(Tabla1[[#This Row],[PROXIMO Cambio de aceite]]="","-",Tabla1[[#This Row],[PROXIMO Cambio de aceite]]-Tabla1[[#This Row],[KM ACTUAL]])</calculatedColumnFormula>
    </tableColumn>
    <tableColumn id="13" xr3:uid="{00000000-0010-0000-0000-00000D000000}" name="ESTADO" dataDxfId="69"/>
    <tableColumn id="14" xr3:uid="{00000000-0010-0000-0000-00000E000000}" name="GASTO EN COMBUSTIBLES" dataDxfId="68">
      <calculatedColumnFormula>SUMIF(GPS!D:D,Tabla1[[#This Row],[MAQUINARIA]],GPS!M:M)</calculatedColumnFormula>
    </tableColumn>
    <tableColumn id="15" xr3:uid="{00000000-0010-0000-0000-00000F000000}" name="$ EN MANTENCIÓN" dataDxfId="67">
      <calculatedColumnFormula>SUMIF('GASTOS Y MANTENCIONES'!B:B,C2,'GASTOS Y MANTENCIONES'!C:C)</calculatedColumnFormula>
    </tableColumn>
    <tableColumn id="20" xr3:uid="{00000000-0010-0000-0000-000014000000}" name="COSTO TOTAL" dataDxfId="66">
      <calculatedColumnFormula>Tabla1[[#This Row],[GASTO EN COMBUSTIBLES]]+Tabla1[[#This Row],[$ EN MANTENCIÓN]]</calculatedColumnFormula>
    </tableColumn>
    <tableColumn id="18" xr3:uid="{00000000-0010-0000-0000-000012000000}" name="COSTO X KM" dataDxfId="65">
      <calculatedColumnFormula>IFERROR((Tabla1[[#This Row],[GASTO EN COMBUSTIBLES]]+Tabla1[[#This Row],[$ EN MANTENCIÓN]])/Tabla1[[#This Row],[KM DE comienzo]],"-")</calculatedColumnFormula>
    </tableColumn>
    <tableColumn id="24" xr3:uid="{85E91A33-0CD7-47CF-92A9-2C8DBED4F023}" name="PRIORIDAD" dataDxfId="64">
      <calculatedColumnFormula>IF($R2="FUERA DE SERVICIO",1,IF($R2="EN MANTENCIÓN",2,IF(OR(AND(ISNUMBER($M2),$M2&lt;0),AND(ISNUMBER($O2),$O2&lt;0)),3,IF(OR(AND(ISNUMBER($M2),$M2&lt;=30),AND(ISNUMBER($O2),$O2&lt;=30)),4,IF(AND(ISNUMBER($Q2),$Q2&lt;=10000),5,6)))))</calculatedColumnFormula>
    </tableColumn>
    <tableColumn id="23" xr3:uid="{516809A3-AC0B-4EA8-8B0B-A0E89D755DB4}" name="ALERTAS" dataDxfId="63">
      <calculatedColumnFormula>IF($R2="FUERA DE SERVICIO","Fuera de servicio",IF($R2="EN MANTENCIÓN","En mantención",IF(AND(ISNUMBER($M2),$M2&lt;0),"RT vencida",IF(AND(ISNUMBER($O2),$O2&lt;0),"Gases vencidos",IF(AND(ISNUMBER($M2),$M2&lt;=30),"RT próxima",IF(AND(ISNUMBER($O2),$O2&lt;=30),"Gases próximos",IF(AND(ISNUMBER($Q2),$Q2&lt;=500),"Cambio aceite próximo","OK")))))))</calculatedColumnFormula>
    </tableColumn>
    <tableColumn id="25" xr3:uid="{4F154F8E-ECC3-4936-AA61-FAC61B5C07B8}" name="Columna1" dataDxfId="62">
      <calculatedColumnFormula>Tabla1[[#This Row],[PRIORIDAD]]+(ROW()/1000)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5" displayName="Tabla15" ref="A1:N752" totalsRowShown="0" headerRowDxfId="61" dataDxfId="60">
  <autoFilter ref="A1:N752" xr:uid="{00000000-0009-0000-0100-000002000000}"/>
  <tableColumns count="14">
    <tableColumn id="1" xr3:uid="{00000000-0010-0000-0100-000001000000}" name="VEHICULO" dataDxfId="59">
      <calculatedColumnFormula>_xlfn.XLOOKUP(Tabla15[[#This Row],[GPS]],Hoja3!A:A,Hoja3!B:B)</calculatedColumnFormula>
    </tableColumn>
    <tableColumn id="13" xr3:uid="{00000000-0010-0000-0100-00000D000000}" name="COMBUSTIBLE" dataDxfId="58">
      <calculatedColumnFormula>_xlfn.XLOOKUP(GPS!D2,Hoja3!A:A,Hoja3!D:D)</calculatedColumnFormula>
    </tableColumn>
    <tableColumn id="2" xr3:uid="{00000000-0010-0000-0100-000002000000}" name="OPERADOR" dataDxfId="57">
      <calculatedColumnFormula>_xlfn.XLOOKUP(Tabla15[[#This Row],[GPS]],Hoja3!A:A,Hoja3!C:C)</calculatedColumnFormula>
    </tableColumn>
    <tableColumn id="3" xr3:uid="{00000000-0010-0000-0100-000003000000}" name="GPS" dataDxfId="56"/>
    <tableColumn id="4" xr3:uid="{00000000-0010-0000-0100-000004000000}" name="Fecha" dataDxfId="55"/>
    <tableColumn id="5" xr3:uid="{00000000-0010-0000-0100-000005000000}" name="Horas Motor (Hrs)" dataDxfId="54"/>
    <tableColumn id="6" xr3:uid="{00000000-0010-0000-0100-000006000000}" name="Distancia (km)" dataDxfId="53"/>
    <tableColumn id="7" xr3:uid="{00000000-0010-0000-0100-000007000000}" name="Disponibilidad" dataDxfId="52"/>
    <tableColumn id="8" xr3:uid="{00000000-0010-0000-0100-000008000000}" name="Vel. Prom. (km/hr)" dataDxfId="51"/>
    <tableColumn id="9" xr3:uid="{00000000-0010-0000-0100-000009000000}" name="Vel. Máx (km/hr)" dataDxfId="50"/>
    <tableColumn id="10" xr3:uid="{00000000-0010-0000-0100-00000A000000}" name="Uso (8 hrs)" dataDxfId="49"/>
    <tableColumn id="11" xr3:uid="{00000000-0010-0000-0100-00000B000000}" name="KM/LT" dataDxfId="48">
      <calculatedColumnFormula>IF(AND(A2="CAMIONETA",B2="BENCINA"),G2/$Q$5,IF(A2="TRACTOR",G2/$Q$3,G2/$Q$1))</calculatedColumnFormula>
    </tableColumn>
    <tableColumn id="12" xr3:uid="{00000000-0010-0000-0100-00000C000000}" name="PRECIO" dataDxfId="47">
      <calculatedColumnFormula>IF(Tabla15[[#This Row],[COMBUSTIBLE]]="PETRÓLEO",L2*$Q$2,L2*$Q$4)</calculatedColumnFormula>
    </tableColumn>
    <tableColumn id="14" xr3:uid="{00000000-0010-0000-0100-00000E000000}" name="SEMANA/FIN" dataDxfId="46">
      <calculatedColumnFormula>IF(OR(WEEKDAY(Tabla15[[#This Row],[Fecha]],2)=6,WEEKDAY(Tabla15[[#This Row],[Fecha]],2)=7),"Fin de semana","Semana")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6" displayName="Tabla6" ref="A1:E55" totalsRowShown="0">
  <autoFilter ref="A1:E55" xr:uid="{00000000-0009-0000-0100-000003000000}"/>
  <sortState xmlns:xlrd2="http://schemas.microsoft.com/office/spreadsheetml/2017/richdata2" ref="A2:E48">
    <sortCondition descending="1" ref="B1:B48"/>
  </sortState>
  <tableColumns count="5">
    <tableColumn id="1" xr3:uid="{00000000-0010-0000-0200-000001000000}" name="FECHA" dataDxfId="31"/>
    <tableColumn id="2" xr3:uid="{00000000-0010-0000-0200-000002000000}" name="ENCARGADO" dataDxfId="30"/>
    <tableColumn id="3" xr3:uid="{00000000-0010-0000-0200-000003000000}" name="MONTO" dataDxfId="29"/>
    <tableColumn id="4" xr3:uid="{00000000-0010-0000-0200-000004000000}" name="MOTIVO" dataDxfId="28"/>
    <tableColumn id="5" xr3:uid="{00000000-0010-0000-0200-000005000000}" name="N° FACTUR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4B23"/>
  </sheetPr>
  <dimension ref="A1:T48"/>
  <sheetViews>
    <sheetView showGridLines="0" zoomScale="96" zoomScaleNormal="96" workbookViewId="0">
      <selection activeCell="I9" sqref="I9:L9"/>
    </sheetView>
  </sheetViews>
  <sheetFormatPr baseColWidth="10" defaultColWidth="9.140625" defaultRowHeight="15" x14ac:dyDescent="0.25"/>
  <cols>
    <col min="1" max="1" width="9.85546875" customWidth="1"/>
    <col min="2" max="2" width="13.42578125" customWidth="1"/>
    <col min="3" max="3" width="11.42578125" customWidth="1"/>
    <col min="4" max="4" width="9.42578125" customWidth="1"/>
    <col min="5" max="5" width="12" customWidth="1"/>
    <col min="6" max="6" width="5.5703125" customWidth="1"/>
    <col min="7" max="7" width="15.42578125" customWidth="1"/>
    <col min="8" max="8" width="18.140625" customWidth="1"/>
    <col min="9" max="9" width="13" customWidth="1"/>
    <col min="10" max="10" width="7.7109375" customWidth="1"/>
    <col min="11" max="11" width="5.140625" customWidth="1"/>
    <col min="12" max="12" width="14.140625" customWidth="1"/>
    <col min="13" max="13" width="20.5703125" customWidth="1"/>
    <col min="14" max="14" width="18" customWidth="1"/>
    <col min="15" max="15" width="11.28515625" customWidth="1"/>
    <col min="16" max="16" width="1.7109375" customWidth="1"/>
    <col min="17" max="17" width="14.28515625" customWidth="1"/>
    <col min="18" max="18" width="10.42578125" customWidth="1"/>
    <col min="19" max="19" width="18.5703125" customWidth="1"/>
    <col min="20" max="20" width="0.42578125" customWidth="1"/>
  </cols>
  <sheetData>
    <row r="1" spans="1:20" ht="15.75" customHeight="1" x14ac:dyDescent="0.25">
      <c r="A1" s="116" t="s">
        <v>34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2" t="s">
        <v>35</v>
      </c>
      <c r="S1" s="113"/>
      <c r="T1" s="113"/>
    </row>
    <row r="2" spans="1:20" ht="21" customHeight="1" x14ac:dyDescent="0.2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24">
        <f ca="1">TODAY()</f>
        <v>46211</v>
      </c>
      <c r="S2" s="117"/>
      <c r="T2" s="117"/>
    </row>
    <row r="3" spans="1:20" ht="13.5" customHeight="1" x14ac:dyDescent="0.25"/>
    <row r="4" spans="1:20" ht="21" customHeight="1" x14ac:dyDescent="0.25">
      <c r="A4" s="118" t="s">
        <v>36</v>
      </c>
      <c r="B4" s="111"/>
      <c r="C4" s="123" t="s">
        <v>37</v>
      </c>
      <c r="D4" s="111"/>
      <c r="E4" s="122" t="s">
        <v>38</v>
      </c>
      <c r="F4" s="111"/>
      <c r="G4" s="118" t="s">
        <v>39</v>
      </c>
      <c r="H4" s="111"/>
      <c r="I4" s="119" t="s">
        <v>40</v>
      </c>
      <c r="J4" s="111"/>
      <c r="K4" s="119" t="s">
        <v>41</v>
      </c>
      <c r="L4" s="111"/>
      <c r="M4" s="122" t="s">
        <v>42</v>
      </c>
      <c r="N4" s="111"/>
      <c r="O4" s="119" t="s">
        <v>43</v>
      </c>
      <c r="P4" s="111"/>
      <c r="Q4" s="122" t="s">
        <v>44</v>
      </c>
      <c r="R4" s="111"/>
      <c r="S4" s="123" t="s">
        <v>45</v>
      </c>
      <c r="T4" s="111"/>
    </row>
    <row r="5" spans="1:20" ht="21" customHeight="1" x14ac:dyDescent="0.25">
      <c r="A5" s="137">
        <f>COUNTA(DATOS!$H$2:$H$22)</f>
        <v>21</v>
      </c>
      <c r="B5" s="111"/>
      <c r="C5" s="121">
        <f>COUNTIF(DATOS!$R$2:$R$22,"OPERATIVA")</f>
        <v>17</v>
      </c>
      <c r="D5" s="111"/>
      <c r="E5" s="110">
        <f>COUNTIF(DATOS!$R$2:$R$22,"EN MANTENCIÓN")</f>
        <v>1</v>
      </c>
      <c r="F5" s="111"/>
      <c r="G5" s="137">
        <f>COUNTIF(DATOS!$R$2:$R$22,"ARRIENDO")</f>
        <v>2</v>
      </c>
      <c r="H5" s="111"/>
      <c r="I5" s="125">
        <f>COUNTIF(DATOS!$R$2:$R$22,"FUERA DE SERVICIO")</f>
        <v>1</v>
      </c>
      <c r="J5" s="111"/>
      <c r="K5" s="125">
        <f ca="1">COUNTIF(DATOS!$M$2:$M$22,"&lt;0")</f>
        <v>4</v>
      </c>
      <c r="L5" s="111"/>
      <c r="M5" s="110">
        <f ca="1">COUNTIFS(DATOS!$M$2:$M$22,"&gt;=0",DATOS!$M$2:$M$22,"&lt;=30")</f>
        <v>0</v>
      </c>
      <c r="N5" s="111"/>
      <c r="O5" s="125">
        <f ca="1">COUNTIF(DATOS!$O$2:$O$22,"&lt;0")</f>
        <v>4</v>
      </c>
      <c r="P5" s="111"/>
      <c r="Q5" s="110">
        <f ca="1">COUNTIFS(DATOS!$O$2:$O$22,"&gt;=0",DATOS!$O$2:$O$22,"&lt;=30")</f>
        <v>0</v>
      </c>
      <c r="R5" s="111"/>
      <c r="S5" s="121">
        <f>COUNTIFS(DATOS!$Q$2:$Q$22,"&gt;=0",DATOS!$Q$2:$Q$22,"&lt;=500")</f>
        <v>0</v>
      </c>
      <c r="T5" s="111"/>
    </row>
    <row r="6" spans="1:20" ht="21" customHeight="1" x14ac:dyDescent="0.25">
      <c r="A6" s="126" t="s">
        <v>46</v>
      </c>
      <c r="B6" s="127"/>
      <c r="C6" s="126" t="s">
        <v>46</v>
      </c>
      <c r="D6" s="127"/>
      <c r="E6" s="126" t="s">
        <v>46</v>
      </c>
      <c r="F6" s="127"/>
      <c r="G6" s="126" t="s">
        <v>46</v>
      </c>
      <c r="H6" s="127"/>
      <c r="I6" s="130" t="s">
        <v>46</v>
      </c>
      <c r="J6" s="131"/>
      <c r="K6" s="130" t="s">
        <v>47</v>
      </c>
      <c r="L6" s="131"/>
      <c r="M6" s="126" t="s">
        <v>48</v>
      </c>
      <c r="N6" s="127"/>
      <c r="O6" s="130" t="s">
        <v>47</v>
      </c>
      <c r="P6" s="131"/>
      <c r="Q6" s="126" t="s">
        <v>48</v>
      </c>
      <c r="R6" s="127"/>
      <c r="S6" s="126" t="s">
        <v>198</v>
      </c>
      <c r="T6" s="127"/>
    </row>
    <row r="7" spans="1:20" ht="12" customHeight="1" x14ac:dyDescent="0.25"/>
    <row r="8" spans="1:20" ht="21" customHeight="1" x14ac:dyDescent="0.25">
      <c r="A8" s="128" t="s">
        <v>49</v>
      </c>
      <c r="B8" s="111"/>
      <c r="C8" s="111"/>
      <c r="D8" s="111"/>
      <c r="E8" s="128" t="s">
        <v>50</v>
      </c>
      <c r="F8" s="111"/>
      <c r="G8" s="111"/>
      <c r="H8" s="111"/>
      <c r="I8" s="140" t="s">
        <v>51</v>
      </c>
      <c r="J8" s="141"/>
      <c r="K8" s="141"/>
      <c r="L8" s="141"/>
      <c r="M8" s="128" t="s">
        <v>52</v>
      </c>
      <c r="N8" s="111"/>
      <c r="O8" s="111"/>
      <c r="P8" s="111"/>
      <c r="Q8" s="128" t="s">
        <v>53</v>
      </c>
      <c r="R8" s="111"/>
      <c r="S8" s="111"/>
      <c r="T8" s="111"/>
    </row>
    <row r="9" spans="1:20" ht="21" customHeight="1" x14ac:dyDescent="0.25">
      <c r="A9" s="120">
        <f>SUM(DATOS!$S$2:$S$22)</f>
        <v>3779528.5866666669</v>
      </c>
      <c r="B9" s="111"/>
      <c r="C9" s="111"/>
      <c r="D9" s="111"/>
      <c r="E9" s="120">
        <f>SUM(DATOS!$T$2:$T$22)</f>
        <v>1448768</v>
      </c>
      <c r="F9" s="111"/>
      <c r="G9" s="111"/>
      <c r="H9" s="111"/>
      <c r="I9" s="142">
        <f>SUM(DATOS!$U$2:$U$22)</f>
        <v>5228296.5866666669</v>
      </c>
      <c r="J9" s="141"/>
      <c r="K9" s="141"/>
      <c r="L9" s="141"/>
      <c r="M9" s="138">
        <f>IFERROR(AVERAGEIF(DATOS!$V$2:$V$22,"&gt;0"),0)</f>
        <v>175.09565974258487</v>
      </c>
      <c r="N9" s="111"/>
      <c r="O9" s="111"/>
      <c r="P9" s="111"/>
      <c r="Q9" s="139">
        <f>SUM(DATOS!$K$2:$K$22)</f>
        <v>749559.24</v>
      </c>
      <c r="R9" s="111"/>
      <c r="S9" s="111"/>
      <c r="T9" s="111"/>
    </row>
    <row r="10" spans="1:20" ht="24" customHeight="1" x14ac:dyDescent="0.25">
      <c r="A10" s="114" t="s">
        <v>54</v>
      </c>
      <c r="B10" s="115"/>
      <c r="C10" s="115"/>
      <c r="D10" s="115"/>
      <c r="E10" s="114" t="s">
        <v>54</v>
      </c>
      <c r="F10" s="115"/>
      <c r="G10" s="115"/>
      <c r="H10" s="115"/>
      <c r="I10" s="129" t="s">
        <v>54</v>
      </c>
      <c r="J10" s="129"/>
      <c r="K10" s="129"/>
      <c r="L10" s="129"/>
      <c r="M10" s="114" t="s">
        <v>55</v>
      </c>
      <c r="N10" s="115"/>
      <c r="O10" s="115"/>
      <c r="P10" s="115"/>
      <c r="Q10" s="114" t="s">
        <v>56</v>
      </c>
      <c r="R10" s="115"/>
      <c r="S10" s="115"/>
      <c r="T10" s="115"/>
    </row>
    <row r="11" spans="1:20" ht="9.75" customHeight="1" x14ac:dyDescent="0.25"/>
    <row r="12" spans="1:20" ht="21" customHeight="1" x14ac:dyDescent="0.25">
      <c r="A12" s="134" t="s">
        <v>196</v>
      </c>
      <c r="B12" s="117"/>
      <c r="C12" s="117"/>
      <c r="D12" s="117"/>
      <c r="E12" s="117"/>
      <c r="G12" s="133" t="s">
        <v>57</v>
      </c>
      <c r="H12" s="133"/>
      <c r="I12" s="133"/>
      <c r="L12" s="134" t="s">
        <v>58</v>
      </c>
      <c r="M12" s="134"/>
      <c r="N12" s="134"/>
      <c r="O12" s="82"/>
      <c r="Q12" s="133" t="s">
        <v>59</v>
      </c>
      <c r="R12" s="133"/>
      <c r="S12" s="133"/>
    </row>
    <row r="13" spans="1:20" ht="21" customHeight="1" x14ac:dyDescent="0.25">
      <c r="A13" s="63" t="s">
        <v>199</v>
      </c>
      <c r="B13" s="63" t="s">
        <v>61</v>
      </c>
      <c r="C13" s="63" t="s">
        <v>46</v>
      </c>
      <c r="D13" s="63" t="s">
        <v>62</v>
      </c>
      <c r="E13" s="63" t="s">
        <v>63</v>
      </c>
      <c r="G13" s="76" t="s">
        <v>197</v>
      </c>
      <c r="H13" s="76" t="s">
        <v>65</v>
      </c>
      <c r="I13" s="76" t="s">
        <v>209</v>
      </c>
      <c r="L13" s="87" t="s">
        <v>208</v>
      </c>
      <c r="M13" s="86" t="s">
        <v>64</v>
      </c>
      <c r="N13" s="86" t="s">
        <v>66</v>
      </c>
      <c r="Q13" s="63" t="s">
        <v>207</v>
      </c>
      <c r="R13" s="63" t="s">
        <v>60</v>
      </c>
      <c r="S13" s="63" t="s">
        <v>63</v>
      </c>
    </row>
    <row r="14" spans="1:20" ht="35.25" customHeight="1" x14ac:dyDescent="0.25">
      <c r="A14" s="64">
        <v>1</v>
      </c>
      <c r="B14" s="89" t="str">
        <f>IFERROR(INDEX(DATOS!$C$2:$C$22,MATCH(LARGE(DATOS!$T$2:$T$22,1),DATOS!$T$2:$T$22,0)),"")</f>
        <v>SERGIO ROJAS</v>
      </c>
      <c r="C14" s="90">
        <f>IFERROR(LARGE(DATOS!$T$2:$T$22,1),0)</f>
        <v>270796</v>
      </c>
      <c r="D14" s="89"/>
      <c r="E14" s="89"/>
      <c r="G14" s="91">
        <v>1</v>
      </c>
      <c r="H14" s="95" t="str">
        <f>IFERROR(INDEX(DATOS!$C$2:$C$22,MATCH(LARGE(DATOS!$U$2:$U$22,1),DATOS!$U$2:$U$22,0)),"")</f>
        <v>RODRIGO SALINAS</v>
      </c>
      <c r="I14" s="78">
        <f>IFERROR(LARGE(DATOS!$U$2:$U$22,1),0)</f>
        <v>670717.65888888913</v>
      </c>
      <c r="L14" s="91">
        <v>1</v>
      </c>
      <c r="M14" s="92" t="str">
        <f>IFERROR(INDEX(DATOS!$C$2:$C$22,MATCH(LARGE(DATOS!$S$2:$S$22,1),DATOS!$S$2:$S$22,0)),"")</f>
        <v>RODRIGO SALINAS</v>
      </c>
      <c r="N14" s="94">
        <f>IFERROR(LARGE(DATOS!$S$2:$S$22,1),0)</f>
        <v>632917.65888888913</v>
      </c>
      <c r="Q14" s="85" t="str">
        <f ca="1">IFERROR(INDEX(DATOS!$C$2:$C$22,MATCH(SMALL(DATOS!$Y$2:$Y$22,1),DATOS!$Y$2:$Y$22,0)),"")</f>
        <v>SSANYONG</v>
      </c>
      <c r="R14" s="84">
        <f ca="1">SMALL(DATOS!Y:Y,1)</f>
        <v>1.022</v>
      </c>
      <c r="S14" s="88" t="str">
        <f ca="1">_xlfn.XLOOKUP(Q14,DATOS!C:C,DATOS!X:X)</f>
        <v>Fuera de servicio</v>
      </c>
    </row>
    <row r="15" spans="1:20" ht="30.75" customHeight="1" x14ac:dyDescent="0.25">
      <c r="A15" s="64">
        <v>2</v>
      </c>
      <c r="B15" s="89" t="str">
        <f>IFERROR(INDEX(DATOS!$C$2:$C$22,MATCH(LARGE(DATOS!$T$2:$T$22,2),DATOS!$T$2:$T$22,0)),"")</f>
        <v>CAMPO CERRILLOS</v>
      </c>
      <c r="C15" s="90">
        <f>IFERROR(LARGE(DATOS!$T$2:$T$22,2),0)</f>
        <v>155599</v>
      </c>
      <c r="D15" s="89"/>
      <c r="E15" s="89"/>
      <c r="G15" s="91">
        <v>2</v>
      </c>
      <c r="H15" s="97" t="str">
        <f>IFERROR(INDEX(DATOS!$C$2:$C$22,MATCH(LARGE(DATOS!$U$2:$U$22,2),DATOS!$U$2:$U$22,0)),"")</f>
        <v>SERGIO ROJAS</v>
      </c>
      <c r="I15" s="78">
        <f>IFERROR(LARGE(DATOS!$U$2:$U$22,2),0)</f>
        <v>526673.05333333334</v>
      </c>
      <c r="L15" s="91">
        <v>2</v>
      </c>
      <c r="M15" s="92" t="str">
        <f>IFERROR(INDEX(DATOS!$C$2:$C$22,MATCH(LARGE(DATOS!$S$2:$S$22,2),DATOS!$S$2:$S$22,0)),"")</f>
        <v>VG PIÑALEO</v>
      </c>
      <c r="N15" s="94">
        <f>IFERROR(LARGE(DATOS!$S$2:$S$22,2),0)</f>
        <v>371846.40909090923</v>
      </c>
      <c r="Q15" s="85" t="str">
        <f ca="1">IFERROR(INDEX(DATOS!$C$2:$C$22,MATCH(SMALL(DATOS!$Y$2:$Y$22,2),DATOS!$Y$2:$Y$22,0)),"")</f>
        <v>T4</v>
      </c>
      <c r="R15" s="84">
        <f ca="1">SMALL(DATOS!Y:Y,2)</f>
        <v>2.0129999999999999</v>
      </c>
      <c r="S15" s="88" t="str">
        <f ca="1">_xlfn.XLOOKUP(Q15,DATOS!C:C,DATOS!X:X)</f>
        <v>En mantención</v>
      </c>
    </row>
    <row r="16" spans="1:20" ht="40.5" customHeight="1" x14ac:dyDescent="0.25">
      <c r="A16" s="64">
        <v>3</v>
      </c>
      <c r="B16" s="89" t="str">
        <f>IFERROR(INDEX(DATOS!$C$2:$C$22,MATCH(LARGE(DATOS!$T$2:$T$22,3),DATOS!$T$2:$T$22,0)),"")</f>
        <v>VG GERARDO</v>
      </c>
      <c r="C16" s="90">
        <f>IFERROR(LARGE(DATOS!$T$2:$T$22,3),0)</f>
        <v>135674</v>
      </c>
      <c r="D16" s="89"/>
      <c r="E16" s="89"/>
      <c r="F16" s="93"/>
      <c r="G16" s="91">
        <v>3</v>
      </c>
      <c r="H16" s="96" t="str">
        <f>IFERROR(INDEX(DATOS!$C$2:$C$22,MATCH(LARGE(DATOS!$U$2:$U$22,3),DATOS!$U$2:$U$22,0)),"")</f>
        <v>VG GERARDO</v>
      </c>
      <c r="I16" s="78">
        <f>IFERROR(LARGE(DATOS!$U$2:$U$22,3),0)</f>
        <v>477038.95454545465</v>
      </c>
      <c r="J16" s="93"/>
      <c r="K16" s="93"/>
      <c r="L16" s="91">
        <v>3</v>
      </c>
      <c r="M16" s="92" t="str">
        <f>IFERROR(INDEX(DATOS!$C$2:$C$22,MATCH(LARGE(DATOS!$S$2:$S$22,3),DATOS!$S$2:$S$22,0)),"")</f>
        <v>VG GERARDO</v>
      </c>
      <c r="N16" s="94">
        <f>IFERROR(LARGE(DATOS!$S$2:$S$22,3),0)</f>
        <v>341364.95454545465</v>
      </c>
      <c r="O16" s="93"/>
      <c r="P16" s="93"/>
      <c r="Q16" s="85" t="str">
        <f ca="1">IFERROR(INDEX(DATOS!$C$2:$C$22,MATCH(SMALL(DATOS!$Y$2:$Y$22,3),DATOS!$Y$2:$Y$22,0)),"")</f>
        <v>CAMPO PAINE</v>
      </c>
      <c r="R16" s="84">
        <f ca="1">SMALL(DATOS!Y:Y,3)</f>
        <v>3.008</v>
      </c>
      <c r="S16" s="88" t="str">
        <f ca="1">_xlfn.XLOOKUP(Q16,DATOS!C:C,DATOS!X:X)</f>
        <v>RT vencida</v>
      </c>
    </row>
    <row r="17" spans="1:20" ht="33.75" customHeight="1" x14ac:dyDescent="0.25">
      <c r="A17" s="64">
        <v>4</v>
      </c>
      <c r="B17" s="89" t="str">
        <f>IFERROR(INDEX(DATOS!$C$2:$C$22,MATCH(LARGE(DATOS!$T$2:$T$22,4),DATOS!$T$2:$T$22,0)),"")</f>
        <v>CAMPO RULO</v>
      </c>
      <c r="C17" s="90">
        <f>IFERROR(LARGE(DATOS!$T$2:$T$22,4),0)</f>
        <v>120599</v>
      </c>
      <c r="D17" s="89"/>
      <c r="E17" s="89"/>
      <c r="G17" s="91">
        <v>4</v>
      </c>
      <c r="H17" s="95" t="str">
        <f>IFERROR(INDEX(DATOS!$C$2:$C$22,MATCH(LARGE(DATOS!$U$2:$U$22,4),DATOS!$U$2:$U$22,0)),"")</f>
        <v>CAMPO CERRILLOS</v>
      </c>
      <c r="I17" s="78">
        <f>IFERROR(LARGE(DATOS!$U$2:$U$22,4),0)</f>
        <v>475079.6788888888</v>
      </c>
      <c r="L17" s="91">
        <v>4</v>
      </c>
      <c r="M17" s="92" t="str">
        <f>IFERROR(INDEX(DATOS!$C$2:$C$22,MATCH(LARGE(DATOS!$S$2:$S$22,4),DATOS!$S$2:$S$22,0)),"")</f>
        <v>CAMPO CERRILLOS</v>
      </c>
      <c r="N17" s="94">
        <f>IFERROR(LARGE(DATOS!$S$2:$S$22,4),0)</f>
        <v>319480.6788888888</v>
      </c>
      <c r="Q17" s="85" t="str">
        <f ca="1">IFERROR(INDEX(DATOS!$C$2:$C$22,MATCH(SMALL(DATOS!$Y$2:$Y$22,4),DATOS!$Y$2:$Y$22,0)),"")</f>
        <v>T12</v>
      </c>
      <c r="R17" s="84">
        <f ca="1">SMALL(DATOS!Y:Y,4)</f>
        <v>3.016</v>
      </c>
      <c r="S17" s="88" t="str">
        <f ca="1">_xlfn.XLOOKUP(Q17,DATOS!C:C,DATOS!X:X)</f>
        <v>RT vencida</v>
      </c>
    </row>
    <row r="18" spans="1:20" ht="33" customHeight="1" x14ac:dyDescent="0.25">
      <c r="A18" s="64">
        <v>5</v>
      </c>
      <c r="B18" s="89" t="str">
        <f>IFERROR(INDEX(DATOS!$C$2:$C$22,MATCH(LARGE(DATOS!$T$2:$T$22,5),DATOS!$T$2:$T$22,0)),"")</f>
        <v>CAMPO PAINE</v>
      </c>
      <c r="C18" s="90">
        <f>IFERROR(LARGE(DATOS!$T$2:$T$22,5),0)</f>
        <v>107800</v>
      </c>
      <c r="D18" s="89"/>
      <c r="E18" s="89"/>
      <c r="G18" s="91">
        <v>5</v>
      </c>
      <c r="H18" s="95" t="str">
        <f>IFERROR(INDEX(DATOS!$C$2:$C$22,MATCH(LARGE(DATOS!$U$2:$U$22,5),DATOS!$U$2:$U$22,0)),"")</f>
        <v>VG PIÑALEO</v>
      </c>
      <c r="I18" s="78">
        <f>IFERROR(LARGE(DATOS!$U$2:$U$22,5),0)</f>
        <v>442646.40909090923</v>
      </c>
      <c r="L18" s="91">
        <v>5</v>
      </c>
      <c r="M18" s="92" t="str">
        <f>IFERROR(INDEX(DATOS!$C$2:$C$22,MATCH(LARGE(DATOS!$S$2:$S$22,5),DATOS!$S$2:$S$22,0)),"")</f>
        <v>GONZALO GUERRERO</v>
      </c>
      <c r="N18" s="94">
        <f>IFERROR(LARGE(DATOS!$S$2:$S$22,5),0)</f>
        <v>264639.01555555564</v>
      </c>
      <c r="Q18" s="85" t="str">
        <f ca="1">IFERROR(INDEX(DATOS!$C$2:$C$22,MATCH(SMALL(DATOS!$Y$2:$Y$22,5),DATOS!$Y$2:$Y$22,0)),"")</f>
        <v>T11</v>
      </c>
      <c r="R18" s="84">
        <f ca="1">SMALL(DATOS!Y:Y,5)</f>
        <v>3.02</v>
      </c>
      <c r="S18" s="88" t="str">
        <f ca="1">_xlfn.XLOOKUP(Q18,DATOS!C:C,DATOS!X:X)</f>
        <v>RT vencida</v>
      </c>
    </row>
    <row r="19" spans="1:20" ht="18.75" customHeight="1" x14ac:dyDescent="0.25"/>
    <row r="20" spans="1:20" ht="24" customHeight="1" x14ac:dyDescent="0.25">
      <c r="A20" s="135" t="s">
        <v>68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</row>
    <row r="21" spans="1:20" ht="25.5" customHeight="1" x14ac:dyDescent="0.25">
      <c r="A21" s="65" t="s">
        <v>60</v>
      </c>
      <c r="B21" s="65" t="s">
        <v>63</v>
      </c>
      <c r="C21" s="65" t="s">
        <v>69</v>
      </c>
      <c r="D21" s="65" t="s">
        <v>64</v>
      </c>
      <c r="E21" s="65" t="s">
        <v>70</v>
      </c>
      <c r="F21" s="65" t="s">
        <v>71</v>
      </c>
      <c r="G21" s="65" t="s">
        <v>72</v>
      </c>
      <c r="H21" s="65" t="s">
        <v>73</v>
      </c>
      <c r="I21" s="65" t="s">
        <v>74</v>
      </c>
      <c r="J21" s="65" t="s">
        <v>75</v>
      </c>
      <c r="K21" s="65" t="s">
        <v>76</v>
      </c>
      <c r="L21" s="65" t="s">
        <v>77</v>
      </c>
      <c r="M21" s="65" t="s">
        <v>78</v>
      </c>
      <c r="N21" s="65" t="s">
        <v>79</v>
      </c>
      <c r="O21" s="65" t="s">
        <v>80</v>
      </c>
      <c r="P21" s="65" t="s">
        <v>81</v>
      </c>
      <c r="Q21" s="65" t="s">
        <v>82</v>
      </c>
      <c r="R21" s="65" t="s">
        <v>83</v>
      </c>
      <c r="S21" s="65" t="s">
        <v>84</v>
      </c>
      <c r="T21" s="65" t="s">
        <v>85</v>
      </c>
    </row>
    <row r="22" spans="1:20" ht="25.5" customHeight="1" x14ac:dyDescent="0.25">
      <c r="A22" s="62">
        <f>IF(DATOS!$R$22="FUERA DE SERVICIO",1,IF(DATOS!$R$22="EN MANTENCIÓN",2,IF(OR(IFERROR(DATOS!$M$22&lt;0,FALSE),IFERROR(DATOS!$O$22&lt;0,FALSE)),3,IF(OR(IFERROR(AND(DATOS!$M$22&gt;=0,DATOS!$M$22&lt;=30),FALSE),IFERROR(AND(DATOS!$O$22&gt;=0,DATOS!$O$22&lt;=30),FALSE)),4,IF(IFERROR(AND(DATOS!$Q$22&gt;=0,DATOS!$Q$22&lt;=10000),FALSE),5,6)))))</f>
        <v>1</v>
      </c>
      <c r="B22" s="62" t="str">
        <f>DATOS!R22</f>
        <v>FUERA DE SERVICIO</v>
      </c>
      <c r="C22" s="62" t="str">
        <f>DATOS!A22</f>
        <v>Vehiculo</v>
      </c>
      <c r="D22" s="62" t="str">
        <f>DATOS!H22</f>
        <v>JKVT20</v>
      </c>
      <c r="E22" s="62" t="str">
        <f>DATOS!E22</f>
        <v>Ssangyong</v>
      </c>
      <c r="F22" s="62" t="str">
        <f>DATOS!F22</f>
        <v>Actyon</v>
      </c>
      <c r="G22" s="62">
        <f>DATOS!G22</f>
        <v>2017</v>
      </c>
      <c r="H22" s="62" t="str">
        <f>DATOS!C22</f>
        <v>SSANYONG</v>
      </c>
      <c r="I22" s="62" t="str">
        <f>DATOS!B22</f>
        <v>Rulo</v>
      </c>
      <c r="J22" s="66">
        <f>DATOS!K22</f>
        <v>0</v>
      </c>
      <c r="K22" s="67">
        <f ca="1">DATOS!M22</f>
        <v>-522</v>
      </c>
      <c r="L22" s="67">
        <f ca="1">DATOS!O22</f>
        <v>-522</v>
      </c>
      <c r="M22" s="66" t="str">
        <f>DATOS!Q22</f>
        <v>-</v>
      </c>
      <c r="N22" s="68">
        <f>DATOS!S22</f>
        <v>0</v>
      </c>
      <c r="O22" s="68">
        <f>DATOS!T22</f>
        <v>25300</v>
      </c>
      <c r="P22" s="68">
        <f>DATOS!U22</f>
        <v>25300</v>
      </c>
      <c r="Q22" s="68" t="str">
        <f>DATOS!V22</f>
        <v>-</v>
      </c>
      <c r="R22" s="62" t="str">
        <f>DATOS!D22</f>
        <v>CMTA0</v>
      </c>
      <c r="S22" s="62" t="str">
        <f>DATOS!B22</f>
        <v>Rulo</v>
      </c>
      <c r="T22" s="62"/>
    </row>
    <row r="23" spans="1:20" ht="21" customHeight="1" x14ac:dyDescent="0.25">
      <c r="A23" s="69">
        <f>IF(DATOS!$R$13="FUERA DE SERVICIO",1,IF(DATOS!$R$13="EN MANTENCIÓN",2,IF(OR(IFERROR(DATOS!$M$13&lt;0,FALSE),IFERROR(DATOS!$O$13&lt;0,FALSE)),3,IF(OR(IFERROR(AND(DATOS!$M$13&gt;=0,DATOS!$M$13&lt;=30),FALSE),IFERROR(AND(DATOS!$O$13&gt;=0,DATOS!$O$13&lt;=30),FALSE)),4,IF(IFERROR(AND(DATOS!$Q$13&gt;=0,DATOS!$Q$13&lt;=10000),FALSE),5,6)))))</f>
        <v>2</v>
      </c>
      <c r="B23" s="69" t="str">
        <f>DATOS!R13</f>
        <v>EN MANTENCIÓN</v>
      </c>
      <c r="C23" s="69" t="str">
        <f>DATOS!A13</f>
        <v>TRACTOR</v>
      </c>
      <c r="D23" s="69" t="str">
        <f>DATOS!H13</f>
        <v>CYPX-61</v>
      </c>
      <c r="E23" s="69" t="str">
        <f>DATOS!E13</f>
        <v>New Holland</v>
      </c>
      <c r="F23" s="69" t="str">
        <f>DATOS!F13</f>
        <v>T4030F</v>
      </c>
      <c r="G23" s="69">
        <f>DATOS!G13</f>
        <v>2011</v>
      </c>
      <c r="H23" s="69" t="str">
        <f>DATOS!C13</f>
        <v>T4</v>
      </c>
      <c r="I23" s="69" t="str">
        <f>DATOS!B13</f>
        <v>Rulo</v>
      </c>
      <c r="J23" s="70">
        <f>DATOS!K13</f>
        <v>0</v>
      </c>
      <c r="K23" s="71">
        <f ca="1">DATOS!M13</f>
        <v>786</v>
      </c>
      <c r="L23" s="71">
        <f ca="1">DATOS!O13</f>
        <v>786</v>
      </c>
      <c r="M23" s="70" t="str">
        <f>DATOS!Q13</f>
        <v>-</v>
      </c>
      <c r="N23" s="72">
        <f>DATOS!S13</f>
        <v>125408.41999999995</v>
      </c>
      <c r="O23" s="72">
        <f>DATOS!T13</f>
        <v>37800</v>
      </c>
      <c r="P23" s="72">
        <f>DATOS!U13</f>
        <v>163208.41999999995</v>
      </c>
      <c r="Q23" s="72">
        <f>DATOS!V13</f>
        <v>140.8620624180073</v>
      </c>
      <c r="R23" s="69" t="str">
        <f>DATOS!D13</f>
        <v>T4</v>
      </c>
      <c r="S23" s="69" t="str">
        <f>DATOS!B13</f>
        <v>Rulo</v>
      </c>
      <c r="T23" s="69"/>
    </row>
    <row r="24" spans="1:20" ht="21" customHeight="1" x14ac:dyDescent="0.25">
      <c r="A24" s="62">
        <f ca="1">IF(DATOS!$R$19="FUERA DE SERVICIO",1,IF(DATOS!$R$19="EN MANTENCIÓN",2,IF(OR(IFERROR(DATOS!$M$19&lt;0,FALSE),IFERROR(DATOS!$O$19&lt;0,FALSE)),3,IF(OR(IFERROR(AND(DATOS!$M$19&gt;=0,DATOS!$M$19&lt;=30),FALSE),IFERROR(AND(DATOS!$O$19&gt;=0,DATOS!$O$19&lt;=30),FALSE)),4,IF(IFERROR(AND(DATOS!$Q$19&gt;=0,DATOS!$Q$19&lt;=10000),FALSE),5,6)))))</f>
        <v>6</v>
      </c>
      <c r="B24" s="62" t="str">
        <f>DATOS!R19</f>
        <v>OPERATIVA</v>
      </c>
      <c r="C24" s="62" t="str">
        <f>DATOS!A19</f>
        <v>TRACTOR</v>
      </c>
      <c r="D24" s="62" t="str">
        <f>DATOS!H19</f>
        <v>JYJT-41</v>
      </c>
      <c r="E24" s="62" t="str">
        <f>DATOS!E19</f>
        <v>Same</v>
      </c>
      <c r="F24" s="62" t="str">
        <f>DATOS!F19</f>
        <v>FRUTTETO3 75</v>
      </c>
      <c r="G24" s="62">
        <f>DATOS!G19</f>
        <v>2017</v>
      </c>
      <c r="H24" s="62" t="str">
        <f>DATOS!C19</f>
        <v>T8</v>
      </c>
      <c r="I24" s="62" t="str">
        <f>DATOS!B19</f>
        <v>Cerrillos</v>
      </c>
      <c r="J24" s="66">
        <f>DATOS!K19</f>
        <v>0</v>
      </c>
      <c r="K24" s="67">
        <f ca="1">DATOS!M19</f>
        <v>85</v>
      </c>
      <c r="L24" s="67">
        <f ca="1">DATOS!O19</f>
        <v>85</v>
      </c>
      <c r="M24" s="66" t="str">
        <f>DATOS!Q19</f>
        <v>-</v>
      </c>
      <c r="N24" s="68">
        <f>DATOS!S19</f>
        <v>71373.428333333315</v>
      </c>
      <c r="O24" s="68">
        <f>DATOS!T19</f>
        <v>37800</v>
      </c>
      <c r="P24" s="68">
        <f>DATOS!U19</f>
        <v>109173.42833333332</v>
      </c>
      <c r="Q24" s="68">
        <f>DATOS!V19</f>
        <v>116.99952667245374</v>
      </c>
      <c r="R24" s="62" t="str">
        <f>DATOS!D19</f>
        <v>T8</v>
      </c>
      <c r="S24" s="62" t="str">
        <f>DATOS!B19</f>
        <v>Cerrillos</v>
      </c>
      <c r="T24" s="62"/>
    </row>
    <row r="25" spans="1:20" ht="21" customHeight="1" x14ac:dyDescent="0.25">
      <c r="A25" s="69">
        <f ca="1">IF(DATOS!$R$4="FUERA DE SERVICIO",1,IF(DATOS!$R$4="EN MANTENCIÓN",2,IF(OR(IFERROR(DATOS!$M$4&lt;0,FALSE),IFERROR(DATOS!$O$4&lt;0,FALSE)),3,IF(OR(IFERROR(AND(DATOS!$M$4&gt;=0,DATOS!$M$4&lt;=30),FALSE),IFERROR(AND(DATOS!$O$4&gt;=0,DATOS!$O$4&lt;=30),FALSE)),4,IF(IFERROR(AND(DATOS!$Q$4&gt;=0,DATOS!$Q$4&lt;=10000),FALSE),5,6)))))</f>
        <v>5</v>
      </c>
      <c r="B25" s="69" t="str">
        <f>DATOS!R4</f>
        <v>OPERATIVA</v>
      </c>
      <c r="C25" s="69" t="str">
        <f>DATOS!A4</f>
        <v>Vehiculo</v>
      </c>
      <c r="D25" s="69" t="str">
        <f>DATOS!H4</f>
        <v>KCTL47</v>
      </c>
      <c r="E25" s="69" t="str">
        <f>DATOS!E4</f>
        <v>Volkswagen</v>
      </c>
      <c r="F25" s="69" t="str">
        <f>DATOS!F4</f>
        <v>Saveiro</v>
      </c>
      <c r="G25" s="69">
        <f>DATOS!G4</f>
        <v>2018</v>
      </c>
      <c r="H25" s="69" t="str">
        <f>DATOS!C4</f>
        <v>VG GERARDO</v>
      </c>
      <c r="I25" s="69" t="str">
        <f>DATOS!B4</f>
        <v>Rulo</v>
      </c>
      <c r="J25" s="70">
        <f>DATOS!K4</f>
        <v>113508.42</v>
      </c>
      <c r="K25" s="71">
        <f ca="1">DATOS!M4</f>
        <v>177</v>
      </c>
      <c r="L25" s="71">
        <f ca="1">DATOS!O4</f>
        <v>177</v>
      </c>
      <c r="M25" s="70">
        <f>DATOS!Q4</f>
        <v>4239.5800000000017</v>
      </c>
      <c r="N25" s="72">
        <f>DATOS!S4</f>
        <v>341364.95454545465</v>
      </c>
      <c r="O25" s="72">
        <f>DATOS!T4</f>
        <v>135674</v>
      </c>
      <c r="P25" s="72">
        <f>DATOS!U4</f>
        <v>477038.95454545465</v>
      </c>
      <c r="Q25" s="72">
        <f>DATOS!V4</f>
        <v>240.08362207051678</v>
      </c>
      <c r="R25" s="69" t="str">
        <f>DATOS!D4</f>
        <v>CMTA04</v>
      </c>
      <c r="S25" s="69" t="str">
        <f>DATOS!B4</f>
        <v>Rulo</v>
      </c>
      <c r="T25" s="69"/>
    </row>
    <row r="26" spans="1:20" ht="21" customHeight="1" x14ac:dyDescent="0.25">
      <c r="A26" s="62">
        <f ca="1">IF(DATOS!$R$10="FUERA DE SERVICIO",1,IF(DATOS!$R$10="EN MANTENCIÓN",2,IF(OR(IFERROR(DATOS!$M$10&lt;0,FALSE),IFERROR(DATOS!$O$10&lt;0,FALSE)),3,IF(OR(IFERROR(AND(DATOS!$M$10&gt;=0,DATOS!$M$10&lt;=30),FALSE),IFERROR(AND(DATOS!$O$10&gt;=0,DATOS!$O$10&lt;=30),FALSE)),4,IF(IFERROR(AND(DATOS!$Q$10&gt;=0,DATOS!$Q$10&lt;=10000),FALSE),5,6)))))</f>
        <v>5</v>
      </c>
      <c r="B26" s="62" t="str">
        <f>DATOS!R10</f>
        <v>OPERATIVA</v>
      </c>
      <c r="C26" s="62" t="str">
        <f>DATOS!A10</f>
        <v>Vehiculo</v>
      </c>
      <c r="D26" s="62" t="str">
        <f>DATOS!H10</f>
        <v>KCTL48</v>
      </c>
      <c r="E26" s="62" t="str">
        <f>DATOS!E10</f>
        <v>Volkswagen</v>
      </c>
      <c r="F26" s="62" t="str">
        <f>DATOS!F10</f>
        <v>Saveiro</v>
      </c>
      <c r="G26" s="62">
        <f>DATOS!G10</f>
        <v>2018</v>
      </c>
      <c r="H26" s="62" t="str">
        <f>DATOS!C10</f>
        <v>VG CERRILLOS</v>
      </c>
      <c r="I26" s="62" t="str">
        <f>DATOS!B10</f>
        <v>Cerrillos</v>
      </c>
      <c r="J26" s="66">
        <f>DATOS!K10</f>
        <v>106758.78</v>
      </c>
      <c r="K26" s="67">
        <f ca="1">DATOS!M10</f>
        <v>116</v>
      </c>
      <c r="L26" s="67">
        <f ca="1">DATOS!O10</f>
        <v>116</v>
      </c>
      <c r="M26" s="66">
        <f>DATOS!Q10</f>
        <v>1241.2200000000012</v>
      </c>
      <c r="N26" s="68">
        <f>DATOS!S10</f>
        <v>206031.63636363635</v>
      </c>
      <c r="O26" s="68">
        <f>DATOS!T10</f>
        <v>70800</v>
      </c>
      <c r="P26" s="68">
        <f>DATOS!U10</f>
        <v>276831.63636363635</v>
      </c>
      <c r="Q26" s="68">
        <f>DATOS!V10</f>
        <v>196.61477451092438</v>
      </c>
      <c r="R26" s="62" t="str">
        <f>DATOS!D10</f>
        <v>CMTA05</v>
      </c>
      <c r="S26" s="62" t="str">
        <f>DATOS!B10</f>
        <v>Cerrillos</v>
      </c>
      <c r="T26" s="62"/>
    </row>
    <row r="27" spans="1:20" ht="21" customHeight="1" x14ac:dyDescent="0.25">
      <c r="A27" s="69">
        <f ca="1">IF(DATOS!$R$20="FUERA DE SERVICIO",1,IF(DATOS!$R$20="EN MANTENCIÓN",2,IF(OR(IFERROR(DATOS!$M$20&lt;0,FALSE),IFERROR(DATOS!$O$20&lt;0,FALSE)),3,IF(OR(IFERROR(AND(DATOS!$M$20&gt;=0,DATOS!$M$20&lt;=30),FALSE),IFERROR(AND(DATOS!$O$20&gt;=0,DATOS!$O$20&lt;=30),FALSE)),4,IF(IFERROR(AND(DATOS!$Q$20&gt;=0,DATOS!$Q$20&lt;=10000),FALSE),5,6)))))</f>
        <v>3</v>
      </c>
      <c r="B27" s="69" t="str">
        <f>DATOS!R20</f>
        <v>OPERATIVA</v>
      </c>
      <c r="C27" s="69" t="str">
        <f>DATOS!A20</f>
        <v>TRACTOR</v>
      </c>
      <c r="D27" s="69" t="str">
        <f>DATOS!H20</f>
        <v>LXFB96</v>
      </c>
      <c r="E27" s="69" t="str">
        <f>DATOS!E20</f>
        <v>John Deere</v>
      </c>
      <c r="F27" s="69" t="str">
        <f>DATOS!F20</f>
        <v>5085GL</v>
      </c>
      <c r="G27" s="69">
        <f>DATOS!G20</f>
        <v>2021</v>
      </c>
      <c r="H27" s="69" t="str">
        <f>DATOS!C20</f>
        <v>T11</v>
      </c>
      <c r="I27" s="69" t="str">
        <f>DATOS!B20</f>
        <v>Cerrillos</v>
      </c>
      <c r="J27" s="70">
        <f>DATOS!K20</f>
        <v>0</v>
      </c>
      <c r="K27" s="71">
        <f ca="1">DATOS!M20</f>
        <v>-310</v>
      </c>
      <c r="L27" s="71">
        <f ca="1">DATOS!O20</f>
        <v>-310</v>
      </c>
      <c r="M27" s="70" t="str">
        <f>DATOS!Q20</f>
        <v>-</v>
      </c>
      <c r="N27" s="72">
        <f>DATOS!S20</f>
        <v>62267.846666666657</v>
      </c>
      <c r="O27" s="72">
        <f>DATOS!T20</f>
        <v>37800</v>
      </c>
      <c r="P27" s="72">
        <f>DATOS!U20</f>
        <v>100067.84666666665</v>
      </c>
      <c r="Q27" s="72">
        <f>DATOS!V20</f>
        <v>111.39691268692714</v>
      </c>
      <c r="R27" s="69" t="str">
        <f>DATOS!D20</f>
        <v>T11</v>
      </c>
      <c r="S27" s="69" t="str">
        <f>DATOS!B20</f>
        <v>Cerrillos</v>
      </c>
      <c r="T27" s="69"/>
    </row>
    <row r="28" spans="1:20" ht="21" customHeight="1" x14ac:dyDescent="0.25">
      <c r="A28" s="62">
        <f ca="1">IF(DATOS!$R$16="FUERA DE SERVICIO",1,IF(DATOS!$R$16="EN MANTENCIÓN",2,IF(OR(IFERROR(DATOS!$M$16&lt;0,FALSE),IFERROR(DATOS!$O$16&lt;0,FALSE)),3,IF(OR(IFERROR(AND(DATOS!$M$16&gt;=0,DATOS!$M$16&lt;=30),FALSE),IFERROR(AND(DATOS!$O$16&gt;=0,DATOS!$O$16&lt;=30),FALSE)),4,IF(IFERROR(AND(DATOS!$Q$16&gt;=0,DATOS!$Q$16&lt;=10000),FALSE),5,6)))))</f>
        <v>3</v>
      </c>
      <c r="B28" s="62" t="str">
        <f>DATOS!R16</f>
        <v>OPERATIVA</v>
      </c>
      <c r="C28" s="62" t="str">
        <f>DATOS!A16</f>
        <v>TRACTOR</v>
      </c>
      <c r="D28" s="62" t="str">
        <f>DATOS!H16</f>
        <v>LZPF54</v>
      </c>
      <c r="E28" s="62" t="str">
        <f>DATOS!E16</f>
        <v>John Deere</v>
      </c>
      <c r="F28" s="62" t="str">
        <f>DATOS!F16</f>
        <v>5085GL</v>
      </c>
      <c r="G28" s="62">
        <f>DATOS!G16</f>
        <v>2021</v>
      </c>
      <c r="H28" s="62" t="str">
        <f>DATOS!C16</f>
        <v>T12</v>
      </c>
      <c r="I28" s="62" t="str">
        <f>DATOS!B16</f>
        <v>Cerrillos</v>
      </c>
      <c r="J28" s="66">
        <f>DATOS!K16</f>
        <v>0</v>
      </c>
      <c r="K28" s="67">
        <f ca="1">DATOS!M16</f>
        <v>-310</v>
      </c>
      <c r="L28" s="67">
        <f ca="1">DATOS!O16</f>
        <v>-310</v>
      </c>
      <c r="M28" s="66" t="str">
        <f>DATOS!Q16</f>
        <v>-</v>
      </c>
      <c r="N28" s="68">
        <f>DATOS!S16</f>
        <v>74638.146666666638</v>
      </c>
      <c r="O28" s="68">
        <f>DATOS!T16</f>
        <v>37800</v>
      </c>
      <c r="P28" s="68">
        <f>DATOS!U16</f>
        <v>112438.14666666664</v>
      </c>
      <c r="Q28" s="68">
        <f>DATOS!V16</f>
        <v>120.6871106817653</v>
      </c>
      <c r="R28" s="62" t="str">
        <f>DATOS!D16</f>
        <v>T12</v>
      </c>
      <c r="S28" s="62" t="str">
        <f>DATOS!B16</f>
        <v>Cerrillos</v>
      </c>
      <c r="T28" s="62"/>
    </row>
    <row r="29" spans="1:20" ht="21" customHeight="1" x14ac:dyDescent="0.25">
      <c r="A29" s="69">
        <f ca="1">IF(DATOS!$R$8="FUERA DE SERVICIO",1,IF(DATOS!$R$8="EN MANTENCIÓN",2,IF(OR(IFERROR(DATOS!$M$8&lt;0,FALSE),IFERROR(DATOS!$O$8&lt;0,FALSE)),3,IF(OR(IFERROR(AND(DATOS!$M$8&gt;=0,DATOS!$M$8&lt;=30),FALSE),IFERROR(AND(DATOS!$O$8&gt;=0,DATOS!$O$8&lt;=30),FALSE)),4,IF(IFERROR(AND(DATOS!$Q$8&gt;=0,DATOS!$Q$8&lt;=10000),FALSE),5,6)))))</f>
        <v>3</v>
      </c>
      <c r="B29" s="69" t="str">
        <f>DATOS!R8</f>
        <v>OPERATIVA</v>
      </c>
      <c r="C29" s="69" t="str">
        <f>DATOS!A8</f>
        <v>Vehiculo</v>
      </c>
      <c r="D29" s="69" t="str">
        <f>DATOS!H8</f>
        <v>GRTF64</v>
      </c>
      <c r="E29" s="69" t="str">
        <f>DATOS!E8</f>
        <v>Mitsubishi</v>
      </c>
      <c r="F29" s="69" t="str">
        <f>DATOS!F8</f>
        <v>L200 Katana</v>
      </c>
      <c r="G29" s="69">
        <f>DATOS!G8</f>
        <v>2015</v>
      </c>
      <c r="H29" s="69" t="str">
        <f>DATOS!C8</f>
        <v>CAMPO PAINE</v>
      </c>
      <c r="I29" s="69" t="str">
        <f>DATOS!B8</f>
        <v>Paine</v>
      </c>
      <c r="J29" s="70">
        <f>DATOS!K8</f>
        <v>199236</v>
      </c>
      <c r="K29" s="71">
        <f ca="1">DATOS!M8</f>
        <v>-7</v>
      </c>
      <c r="L29" s="71">
        <f ca="1">DATOS!O8</f>
        <v>-7</v>
      </c>
      <c r="M29" s="70">
        <f>DATOS!Q8</f>
        <v>6764</v>
      </c>
      <c r="N29" s="72">
        <f>DATOS!S8</f>
        <v>220296.76111111103</v>
      </c>
      <c r="O29" s="72">
        <f>DATOS!T8</f>
        <v>107800</v>
      </c>
      <c r="P29" s="72">
        <f>DATOS!U8</f>
        <v>328096.76111111103</v>
      </c>
      <c r="Q29" s="72">
        <f>DATOS!V8</f>
        <v>146.26282146536695</v>
      </c>
      <c r="R29" s="69" t="str">
        <f>DATOS!D8</f>
        <v>CMTA01</v>
      </c>
      <c r="S29" s="69" t="str">
        <f>DATOS!B8</f>
        <v>Paine</v>
      </c>
      <c r="T29" s="69"/>
    </row>
    <row r="30" spans="1:20" ht="21" customHeight="1" x14ac:dyDescent="0.25">
      <c r="A30" s="62">
        <f ca="1">IF(DATOS!$R$3="FUERA DE SERVICIO",1,IF(DATOS!$R$3="EN MANTENCIÓN",2,IF(OR(IFERROR(DATOS!$M$3&lt;0,FALSE),IFERROR(DATOS!$O$3&lt;0,FALSE)),3,IF(OR(IFERROR(AND(DATOS!$M$3&gt;=0,DATOS!$M$3&lt;=30),FALSE),IFERROR(AND(DATOS!$O$3&gt;=0,DATOS!$O$3&lt;=30),FALSE)),4,IF(IFERROR(AND(DATOS!$Q$3&gt;=0,DATOS!$Q$3&lt;=10000),FALSE),5,6)))))</f>
        <v>6</v>
      </c>
      <c r="B30" s="62" t="str">
        <f>DATOS!R3</f>
        <v>OPERATIVA</v>
      </c>
      <c r="C30" s="62" t="str">
        <f>DATOS!A3</f>
        <v>Vehiculo</v>
      </c>
      <c r="D30" s="62" t="str">
        <f>DATOS!H3</f>
        <v>KCTL49</v>
      </c>
      <c r="E30" s="62" t="str">
        <f>DATOS!E3</f>
        <v>Volkswagen</v>
      </c>
      <c r="F30" s="62" t="str">
        <f>DATOS!F3</f>
        <v>Saveiro</v>
      </c>
      <c r="G30" s="62">
        <f>DATOS!G3</f>
        <v>2018</v>
      </c>
      <c r="H30" s="62" t="str">
        <f>DATOS!C3</f>
        <v>VG PIÑALEO</v>
      </c>
      <c r="I30" s="62" t="str">
        <f>DATOS!B3</f>
        <v>Rulo</v>
      </c>
      <c r="J30" s="66">
        <f>DATOS!K3</f>
        <v>111468.22</v>
      </c>
      <c r="K30" s="67">
        <f ca="1">DATOS!M3</f>
        <v>85</v>
      </c>
      <c r="L30" s="67">
        <f ca="1">DATOS!O3</f>
        <v>55</v>
      </c>
      <c r="M30" s="66">
        <f>DATOS!Q3</f>
        <v>-568.22000000000116</v>
      </c>
      <c r="N30" s="68">
        <f>DATOS!S3</f>
        <v>371846.40909090923</v>
      </c>
      <c r="O30" s="68">
        <f>DATOS!T3</f>
        <v>70800</v>
      </c>
      <c r="P30" s="68">
        <f>DATOS!U3</f>
        <v>442646.40909090923</v>
      </c>
      <c r="Q30" s="68">
        <f>DATOS!V3</f>
        <v>247.96312262463192</v>
      </c>
      <c r="R30" s="62" t="str">
        <f>DATOS!D3</f>
        <v>CMTA03</v>
      </c>
      <c r="S30" s="62" t="str">
        <f>DATOS!B3</f>
        <v>Rulo</v>
      </c>
      <c r="T30" s="62"/>
    </row>
    <row r="31" spans="1:20" ht="21" customHeight="1" x14ac:dyDescent="0.25">
      <c r="A31" s="69">
        <f ca="1">IF(DATOS!$R$7="FUERA DE SERVICIO",1,IF(DATOS!$R$7="EN MANTENCIÓN",2,IF(OR(IFERROR(DATOS!$M$7&lt;0,FALSE),IFERROR(DATOS!$O$7&lt;0,FALSE)),3,IF(OR(IFERROR(AND(DATOS!$M$7&gt;=0,DATOS!$M$7&lt;=30),FALSE),IFERROR(AND(DATOS!$O$7&gt;=0,DATOS!$O$7&lt;=30),FALSE)),4,IF(IFERROR(AND(DATOS!$Q$7&gt;=0,DATOS!$Q$7&lt;=10000),FALSE),5,6)))))</f>
        <v>5</v>
      </c>
      <c r="B31" s="69" t="str">
        <f>DATOS!R7</f>
        <v>OPERATIVA</v>
      </c>
      <c r="C31" s="69" t="str">
        <f>DATOS!A7</f>
        <v>Vehiculo</v>
      </c>
      <c r="D31" s="69" t="str">
        <f>DATOS!H7</f>
        <v>KBVX10</v>
      </c>
      <c r="E31" s="69" t="str">
        <f>DATOS!E7</f>
        <v>Nissan</v>
      </c>
      <c r="F31" s="69" t="str">
        <f>DATOS!F7</f>
        <v>NP300</v>
      </c>
      <c r="G31" s="69">
        <f>DATOS!G7</f>
        <v>2018</v>
      </c>
      <c r="H31" s="69" t="str">
        <f>DATOS!C7</f>
        <v>SERGIO ROJAS</v>
      </c>
      <c r="I31" s="69" t="str">
        <f>DATOS!B7</f>
        <v>Cerrillos</v>
      </c>
      <c r="J31" s="70">
        <f>DATOS!K7</f>
        <v>172278.82</v>
      </c>
      <c r="K31" s="71">
        <f ca="1">DATOS!M7</f>
        <v>208</v>
      </c>
      <c r="L31" s="71">
        <f ca="1">DATOS!O7</f>
        <v>208</v>
      </c>
      <c r="M31" s="70">
        <f>DATOS!Q7</f>
        <v>7940.179999999993</v>
      </c>
      <c r="N31" s="72">
        <f>DATOS!S7</f>
        <v>255877.05333333334</v>
      </c>
      <c r="O31" s="72">
        <f>DATOS!T7</f>
        <v>270796</v>
      </c>
      <c r="P31" s="72">
        <f>DATOS!U7</f>
        <v>526673.05333333334</v>
      </c>
      <c r="Q31" s="72">
        <f>DATOS!V7</f>
        <v>477.26210735850702</v>
      </c>
      <c r="R31" s="69" t="str">
        <f>DATOS!D7</f>
        <v>CMTA02</v>
      </c>
      <c r="S31" s="69" t="str">
        <f>DATOS!B7</f>
        <v>Cerrillos</v>
      </c>
      <c r="T31" s="69"/>
    </row>
    <row r="32" spans="1:20" ht="21" customHeight="1" x14ac:dyDescent="0.25">
      <c r="A32" s="62">
        <f ca="1">IF(DATOS!$R$6="FUERA DE SERVICIO",1,IF(DATOS!$R$6="EN MANTENCIÓN",2,IF(OR(IFERROR(DATOS!$M$6&lt;0,FALSE),IFERROR(DATOS!$O$6&lt;0,FALSE)),3,IF(OR(IFERROR(AND(DATOS!$M$6&gt;=0,DATOS!$M$6&lt;=30),FALSE),IFERROR(AND(DATOS!$O$6&gt;=0,DATOS!$O$6&lt;=30),FALSE)),4,IF(IFERROR(AND(DATOS!$Q$6&gt;=0,DATOS!$Q$6&lt;=10000),FALSE),5,6)))))</f>
        <v>6</v>
      </c>
      <c r="B32" s="62" t="str">
        <f>DATOS!R6</f>
        <v>ARRIENDO</v>
      </c>
      <c r="C32" s="62" t="str">
        <f>DATOS!A6</f>
        <v>Vehiculo</v>
      </c>
      <c r="D32" s="62" t="str">
        <f>DATOS!H6</f>
        <v>RHYH16</v>
      </c>
      <c r="E32" s="62" t="str">
        <f>DATOS!E6</f>
        <v>Nissan</v>
      </c>
      <c r="F32" s="62" t="str">
        <f>DATOS!F6</f>
        <v>Navara DC SE 2,3D</v>
      </c>
      <c r="G32" s="62">
        <f>DATOS!G6</f>
        <v>2022</v>
      </c>
      <c r="H32" s="62" t="str">
        <f>DATOS!C6</f>
        <v>GONZALO GUERRERO</v>
      </c>
      <c r="I32" s="62" t="str">
        <f>DATOS!B6</f>
        <v>Paine</v>
      </c>
      <c r="J32" s="66">
        <f>DATOS!K6</f>
        <v>0</v>
      </c>
      <c r="K32" s="67" t="str">
        <f ca="1">DATOS!M6</f>
        <v>-</v>
      </c>
      <c r="L32" s="67" t="str">
        <f ca="1">DATOS!O6</f>
        <v>-</v>
      </c>
      <c r="M32" s="66" t="str">
        <f>DATOS!Q6</f>
        <v>-</v>
      </c>
      <c r="N32" s="68">
        <f>DATOS!S6</f>
        <v>264639.01555555564</v>
      </c>
      <c r="O32" s="68">
        <f>DATOS!T6</f>
        <v>37800</v>
      </c>
      <c r="P32" s="68">
        <f>DATOS!U6</f>
        <v>302439.01555555564</v>
      </c>
      <c r="Q32" s="68">
        <f>DATOS!V6</f>
        <v>150.38262845045102</v>
      </c>
      <c r="R32" s="62" t="str">
        <f>DATOS!D6</f>
        <v>CMTA08</v>
      </c>
      <c r="S32" s="62" t="str">
        <f>DATOS!B6</f>
        <v>Paine</v>
      </c>
      <c r="T32" s="62"/>
    </row>
    <row r="33" spans="1:20" ht="21" customHeight="1" x14ac:dyDescent="0.25">
      <c r="A33" s="69">
        <f ca="1">IF(DATOS!$R$2="FUERA DE SERVICIO",1,IF(DATOS!$R$2="EN MANTENCIÓN",2,IF(OR(IFERROR(DATOS!$M$2&lt;0,FALSE),IFERROR(DATOS!$O$2&lt;0,FALSE)),3,IF(OR(IFERROR(AND(DATOS!$M$2&gt;=0,DATOS!$M$2&lt;=30),FALSE),IFERROR(AND(DATOS!$O$2&gt;=0,DATOS!$O$2&lt;=30),FALSE)),4,IF(IFERROR(AND(DATOS!$Q$2&gt;=0,DATOS!$Q$2&lt;=10000),FALSE),5,6)))))</f>
        <v>6</v>
      </c>
      <c r="B33" s="69" t="str">
        <f>DATOS!R2</f>
        <v>ARRIENDO</v>
      </c>
      <c r="C33" s="69" t="str">
        <f>DATOS!A2</f>
        <v>Vehiculo</v>
      </c>
      <c r="D33" s="69" t="str">
        <f>DATOS!H2</f>
        <v>RHYH23</v>
      </c>
      <c r="E33" s="69" t="str">
        <f>DATOS!E2</f>
        <v>Nissan</v>
      </c>
      <c r="F33" s="69" t="str">
        <f>DATOS!F2</f>
        <v>Navara DC SE 2,3D</v>
      </c>
      <c r="G33" s="69">
        <f>DATOS!G2</f>
        <v>2022</v>
      </c>
      <c r="H33" s="69" t="str">
        <f>DATOS!C2</f>
        <v>RODRIGO SALINAS</v>
      </c>
      <c r="I33" s="69" t="str">
        <f>DATOS!B2</f>
        <v>Rulo</v>
      </c>
      <c r="J33" s="70">
        <f>DATOS!K2</f>
        <v>0</v>
      </c>
      <c r="K33" s="71" t="str">
        <f ca="1">DATOS!M2</f>
        <v>-</v>
      </c>
      <c r="L33" s="71" t="str">
        <f ca="1">DATOS!O2</f>
        <v>-</v>
      </c>
      <c r="M33" s="70" t="str">
        <f>DATOS!Q2</f>
        <v>-</v>
      </c>
      <c r="N33" s="72">
        <f>DATOS!S2</f>
        <v>632917.65888888913</v>
      </c>
      <c r="O33" s="72">
        <f>DATOS!T2</f>
        <v>37800</v>
      </c>
      <c r="P33" s="72">
        <f>DATOS!U2</f>
        <v>670717.65888888913</v>
      </c>
      <c r="Q33" s="72">
        <f>DATOS!V2</f>
        <v>141.41420153552531</v>
      </c>
      <c r="R33" s="69" t="str">
        <f>DATOS!D2</f>
        <v>CMTA07</v>
      </c>
      <c r="S33" s="69" t="str">
        <f>DATOS!B2</f>
        <v>Rulo</v>
      </c>
      <c r="T33" s="69"/>
    </row>
    <row r="34" spans="1:20" ht="21" customHeight="1" x14ac:dyDescent="0.25">
      <c r="A34" s="62">
        <f ca="1">IF(DATOS!$R$15="FUERA DE SERVICIO",1,IF(DATOS!$R$15="EN MANTENCIÓN",2,IF(OR(IFERROR(DATOS!$M$15&lt;0,FALSE),IFERROR(DATOS!$O$15&lt;0,FALSE)),3,IF(OR(IFERROR(AND(DATOS!$M$15&gt;=0,DATOS!$M$15&lt;=30),FALSE),IFERROR(AND(DATOS!$O$15&gt;=0,DATOS!$O$15&lt;=30),FALSE)),4,IF(IFERROR(AND(DATOS!$Q$15&gt;=0,DATOS!$Q$15&lt;=10000),FALSE),5,6)))))</f>
        <v>6</v>
      </c>
      <c r="B34" s="62" t="str">
        <f>DATOS!R15</f>
        <v>OPERATIVA</v>
      </c>
      <c r="C34" s="62" t="str">
        <f>DATOS!A15</f>
        <v>TRACTOR</v>
      </c>
      <c r="D34" s="62" t="str">
        <f>DATOS!H15</f>
        <v>CYPX-60</v>
      </c>
      <c r="E34" s="62" t="str">
        <f>DATOS!E15</f>
        <v>New Holland</v>
      </c>
      <c r="F34" s="62" t="str">
        <f>DATOS!F15</f>
        <v>T4030FWD</v>
      </c>
      <c r="G34" s="62">
        <f>DATOS!G15</f>
        <v>2011</v>
      </c>
      <c r="H34" s="62" t="str">
        <f>DATOS!C15</f>
        <v>T5</v>
      </c>
      <c r="I34" s="62" t="str">
        <f>DATOS!B15</f>
        <v>Rulo</v>
      </c>
      <c r="J34" s="66">
        <f>DATOS!K15</f>
        <v>0</v>
      </c>
      <c r="K34" s="67">
        <f ca="1">DATOS!M15</f>
        <v>786</v>
      </c>
      <c r="L34" s="67">
        <f ca="1">DATOS!O15</f>
        <v>786</v>
      </c>
      <c r="M34" s="66" t="str">
        <f>DATOS!Q15</f>
        <v>-</v>
      </c>
      <c r="N34" s="68">
        <f>DATOS!S15</f>
        <v>76049.321666666656</v>
      </c>
      <c r="O34" s="68">
        <f>DATOS!T15</f>
        <v>37800</v>
      </c>
      <c r="P34" s="68">
        <f>DATOS!U15</f>
        <v>113849.32166666666</v>
      </c>
      <c r="Q34" s="68">
        <f>DATOS!V15</f>
        <v>115.11210141923566</v>
      </c>
      <c r="R34" s="62" t="str">
        <f>DATOS!D15</f>
        <v>T5</v>
      </c>
      <c r="S34" s="62" t="str">
        <f>DATOS!B15</f>
        <v>Rulo</v>
      </c>
      <c r="T34" s="62"/>
    </row>
    <row r="35" spans="1:20" ht="21" customHeight="1" x14ac:dyDescent="0.25">
      <c r="A35" s="69">
        <f ca="1">IF(DATOS!$R$17="FUERA DE SERVICIO",1,IF(DATOS!$R$17="EN MANTENCIÓN",2,IF(OR(IFERROR(DATOS!$M$17&lt;0,FALSE),IFERROR(DATOS!$O$17&lt;0,FALSE)),3,IF(OR(IFERROR(AND(DATOS!$M$17&gt;=0,DATOS!$M$17&lt;=30),FALSE),IFERROR(AND(DATOS!$O$17&gt;=0,DATOS!$O$17&lt;=30),FALSE)),4,IF(IFERROR(AND(DATOS!$Q$17&gt;=0,DATOS!$Q$17&lt;=10000),FALSE),5,6)))))</f>
        <v>6</v>
      </c>
      <c r="B35" s="69" t="str">
        <f>DATOS!R17</f>
        <v>OPERATIVA</v>
      </c>
      <c r="C35" s="69" t="str">
        <f>DATOS!A17</f>
        <v>TRACTOR</v>
      </c>
      <c r="D35" s="69" t="str">
        <f>DATOS!H17</f>
        <v>FDHD-57</v>
      </c>
      <c r="E35" s="69" t="str">
        <f>DATOS!E17</f>
        <v>New Holland</v>
      </c>
      <c r="F35" s="69" t="str">
        <f>DATOS!F17</f>
        <v>T4040F W FRUTER</v>
      </c>
      <c r="G35" s="69">
        <f>DATOS!G17</f>
        <v>2013</v>
      </c>
      <c r="H35" s="69" t="str">
        <f>DATOS!C17</f>
        <v>T6</v>
      </c>
      <c r="I35" s="69" t="str">
        <f>DATOS!B17</f>
        <v>Rulo</v>
      </c>
      <c r="J35" s="70">
        <f>DATOS!K17</f>
        <v>0</v>
      </c>
      <c r="K35" s="71">
        <f ca="1">DATOS!M17</f>
        <v>786</v>
      </c>
      <c r="L35" s="71">
        <f ca="1">DATOS!O17</f>
        <v>786</v>
      </c>
      <c r="M35" s="70" t="str">
        <f>DATOS!Q17</f>
        <v>-</v>
      </c>
      <c r="N35" s="72">
        <f>DATOS!S17</f>
        <v>74143.734999999986</v>
      </c>
      <c r="O35" s="72">
        <f>DATOS!T17</f>
        <v>37800</v>
      </c>
      <c r="P35" s="72">
        <f>DATOS!U17</f>
        <v>111943.73499999999</v>
      </c>
      <c r="Q35" s="72">
        <f>DATOS!V17</f>
        <v>124.67560809907779</v>
      </c>
      <c r="R35" s="69" t="str">
        <f>DATOS!D17</f>
        <v>T6</v>
      </c>
      <c r="S35" s="69" t="str">
        <f>DATOS!B17</f>
        <v>Rulo</v>
      </c>
      <c r="T35" s="69"/>
    </row>
    <row r="36" spans="1:20" ht="21" customHeight="1" x14ac:dyDescent="0.25">
      <c r="A36" s="62">
        <f ca="1">IF(DATOS!$R$21="FUERA DE SERVICIO",1,IF(DATOS!$R$21="EN MANTENCIÓN",2,IF(OR(IFERROR(DATOS!$M$21&lt;0,FALSE),IFERROR(DATOS!$O$21&lt;0,FALSE)),3,IF(OR(IFERROR(AND(DATOS!$M$21&gt;=0,DATOS!$M$21&lt;=30),FALSE),IFERROR(AND(DATOS!$O$21&gt;=0,DATOS!$O$21&lt;=30),FALSE)),4,IF(IFERROR(AND(DATOS!$Q$21&gt;=0,DATOS!$Q$21&lt;=10000),FALSE),5,6)))))</f>
        <v>6</v>
      </c>
      <c r="B36" s="62" t="str">
        <f>DATOS!R21</f>
        <v>OPERATIVA</v>
      </c>
      <c r="C36" s="62" t="str">
        <f>DATOS!A21</f>
        <v>TRACTOR</v>
      </c>
      <c r="D36" s="62" t="str">
        <f>DATOS!H21</f>
        <v>JXXZ-54</v>
      </c>
      <c r="E36" s="62" t="str">
        <f>DATOS!E21</f>
        <v>Same</v>
      </c>
      <c r="F36" s="62" t="str">
        <f>DATOS!F21</f>
        <v>FRUTTETO 3 75 DT 46 NA</v>
      </c>
      <c r="G36" s="62">
        <f>DATOS!G21</f>
        <v>2018</v>
      </c>
      <c r="H36" s="62" t="str">
        <f>DATOS!C21</f>
        <v>T9</v>
      </c>
      <c r="I36" s="62" t="str">
        <f>DATOS!B21</f>
        <v>Cerrillos</v>
      </c>
      <c r="J36" s="66">
        <f>DATOS!K21</f>
        <v>0</v>
      </c>
      <c r="K36" s="67">
        <f ca="1">DATOS!M21</f>
        <v>85</v>
      </c>
      <c r="L36" s="67">
        <f ca="1">DATOS!O21</f>
        <v>85</v>
      </c>
      <c r="M36" s="66" t="str">
        <f>DATOS!Q21</f>
        <v>-</v>
      </c>
      <c r="N36" s="68">
        <f>DATOS!S21</f>
        <v>29370.454999999998</v>
      </c>
      <c r="O36" s="68">
        <f>DATOS!T21</f>
        <v>37800</v>
      </c>
      <c r="P36" s="68">
        <f>DATOS!U21</f>
        <v>67170.455000000002</v>
      </c>
      <c r="Q36" s="68">
        <f>DATOS!V21</f>
        <v>110.89906552857072</v>
      </c>
      <c r="R36" s="62" t="str">
        <f>DATOS!D21</f>
        <v>T9</v>
      </c>
      <c r="S36" s="62" t="str">
        <f>DATOS!B21</f>
        <v>Cerrillos</v>
      </c>
      <c r="T36" s="62"/>
    </row>
    <row r="37" spans="1:20" ht="21" customHeight="1" x14ac:dyDescent="0.25">
      <c r="A37" s="69">
        <f ca="1">IF(DATOS!$R$14="FUERA DE SERVICIO",1,IF(DATOS!$R$14="EN MANTENCIÓN",2,IF(OR(IFERROR(DATOS!$M$14&lt;0,FALSE),IFERROR(DATOS!$O$14&lt;0,FALSE)),3,IF(OR(IFERROR(AND(DATOS!$M$14&gt;=0,DATOS!$M$14&lt;=30),FALSE),IFERROR(AND(DATOS!$O$14&gt;=0,DATOS!$O$14&lt;=30),FALSE)),4,IF(IFERROR(AND(DATOS!$Q$14&gt;=0,DATOS!$Q$14&lt;=10000),FALSE),5,6)))))</f>
        <v>6</v>
      </c>
      <c r="B37" s="69" t="str">
        <f>DATOS!R14</f>
        <v>OPERATIVA</v>
      </c>
      <c r="C37" s="69" t="str">
        <f>DATOS!A14</f>
        <v>TRACTOR</v>
      </c>
      <c r="D37" s="69" t="str">
        <f>DATOS!H14</f>
        <v>JYJT-42</v>
      </c>
      <c r="E37" s="69" t="str">
        <f>DATOS!E14</f>
        <v>Same</v>
      </c>
      <c r="F37" s="69" t="str">
        <f>DATOS!F14</f>
        <v>FRUTTETO3 75</v>
      </c>
      <c r="G37" s="69">
        <f>DATOS!G14</f>
        <v>2017</v>
      </c>
      <c r="H37" s="69" t="str">
        <f>DATOS!C14</f>
        <v>T7</v>
      </c>
      <c r="I37" s="69" t="str">
        <f>DATOS!B14</f>
        <v>Rulo</v>
      </c>
      <c r="J37" s="70">
        <f>DATOS!K14</f>
        <v>0</v>
      </c>
      <c r="K37" s="71">
        <f ca="1">DATOS!M14</f>
        <v>85</v>
      </c>
      <c r="L37" s="71">
        <f ca="1">DATOS!O14</f>
        <v>85</v>
      </c>
      <c r="M37" s="70" t="str">
        <f>DATOS!Q14</f>
        <v>-</v>
      </c>
      <c r="N37" s="72">
        <f>DATOS!S14</f>
        <v>82748.900000000009</v>
      </c>
      <c r="O37" s="72">
        <f>DATOS!T14</f>
        <v>37800</v>
      </c>
      <c r="P37" s="72">
        <f>DATOS!U14</f>
        <v>120548.90000000001</v>
      </c>
      <c r="Q37" s="72">
        <f>DATOS!V14</f>
        <v>76.378952037001866</v>
      </c>
      <c r="R37" s="69" t="str">
        <f>DATOS!D14</f>
        <v>T7</v>
      </c>
      <c r="S37" s="69" t="str">
        <f>DATOS!B14</f>
        <v>Rulo</v>
      </c>
      <c r="T37" s="69"/>
    </row>
    <row r="38" spans="1:20" ht="21" customHeight="1" x14ac:dyDescent="0.25">
      <c r="A38" s="62">
        <f ca="1">IF(DATOS!$R$18="FUERA DE SERVICIO",1,IF(DATOS!$R$18="EN MANTENCIÓN",2,IF(OR(IFERROR(DATOS!$M$18&lt;0,FALSE),IFERROR(DATOS!$O$18&lt;0,FALSE)),3,IF(OR(IFERROR(AND(DATOS!$M$18&gt;=0,DATOS!$M$18&lt;=30),FALSE),IFERROR(AND(DATOS!$O$18&gt;=0,DATOS!$O$18&lt;=30),FALSE)),4,IF(IFERROR(AND(DATOS!$Q$18&gt;=0,DATOS!$Q$18&lt;=10000),FALSE),5,6)))))</f>
        <v>6</v>
      </c>
      <c r="B38" s="62" t="str">
        <f>DATOS!R18</f>
        <v>OPERATIVA</v>
      </c>
      <c r="C38" s="62" t="str">
        <f>DATOS!A18</f>
        <v>TRACTOR</v>
      </c>
      <c r="D38" s="62" t="str">
        <f>DATOS!H18</f>
        <v>LWTR75</v>
      </c>
      <c r="E38" s="62" t="str">
        <f>DATOS!E18</f>
        <v>Kubota</v>
      </c>
      <c r="F38" s="62" t="str">
        <f>DATOS!F18</f>
        <v>M8540DTN</v>
      </c>
      <c r="G38" s="62">
        <f>DATOS!G18</f>
        <v>2020</v>
      </c>
      <c r="H38" s="62" t="str">
        <f>DATOS!C18</f>
        <v>T10</v>
      </c>
      <c r="I38" s="62" t="str">
        <f>DATOS!B18</f>
        <v>Paine</v>
      </c>
      <c r="J38" s="66">
        <f>DATOS!K18</f>
        <v>0</v>
      </c>
      <c r="K38" s="67">
        <f ca="1">DATOS!M18</f>
        <v>786</v>
      </c>
      <c r="L38" s="67">
        <f ca="1">DATOS!O18</f>
        <v>786</v>
      </c>
      <c r="M38" s="66" t="str">
        <f>DATOS!Q18</f>
        <v>-</v>
      </c>
      <c r="N38" s="68">
        <f>DATOS!S18</f>
        <v>73128.890000000014</v>
      </c>
      <c r="O38" s="68">
        <f>DATOS!T18</f>
        <v>37800</v>
      </c>
      <c r="P38" s="68">
        <f>DATOS!U18</f>
        <v>110928.89000000001</v>
      </c>
      <c r="Q38" s="68">
        <f>DATOS!V18</f>
        <v>156.77887075118372</v>
      </c>
      <c r="R38" s="62" t="str">
        <f>DATOS!D18</f>
        <v>T10</v>
      </c>
      <c r="S38" s="62" t="str">
        <f>DATOS!B18</f>
        <v>Paine</v>
      </c>
      <c r="T38" s="62"/>
    </row>
    <row r="39" spans="1:20" ht="21" customHeight="1" x14ac:dyDescent="0.25">
      <c r="A39" s="69">
        <f ca="1">IF(DATOS!$R$11="FUERA DE SERVICIO",1,IF(DATOS!$R$11="EN MANTENCIÓN",2,IF(OR(IFERROR(DATOS!$M$11&lt;0,FALSE),IFERROR(DATOS!$O$11&lt;0,FALSE)),3,IF(OR(IFERROR(AND(DATOS!$M$11&gt;=0,DATOS!$M$11&lt;=30),FALSE),IFERROR(AND(DATOS!$O$11&gt;=0,DATOS!$O$11&lt;=30),FALSE)),4,IF(IFERROR(AND(DATOS!$Q$11&gt;=0,DATOS!$Q$11&lt;=10000),FALSE),5,6)))))</f>
        <v>6</v>
      </c>
      <c r="B39" s="69" t="str">
        <f>DATOS!R11</f>
        <v>OPERATIVA</v>
      </c>
      <c r="C39" s="69" t="str">
        <f>DATOS!A11</f>
        <v>TRACTOR</v>
      </c>
      <c r="D39" s="69" t="str">
        <f>DATOS!H11</f>
        <v>RDPG84</v>
      </c>
      <c r="E39" s="69" t="str">
        <f>DATOS!E11</f>
        <v>John Deere</v>
      </c>
      <c r="F39" s="69" t="str">
        <f>DATOS!F11</f>
        <v>5085GL</v>
      </c>
      <c r="G39" s="69">
        <f>DATOS!G11</f>
        <v>2023</v>
      </c>
      <c r="H39" s="69" t="str">
        <f>DATOS!C11</f>
        <v>T13</v>
      </c>
      <c r="I39" s="69" t="str">
        <f>DATOS!B11</f>
        <v>Paine</v>
      </c>
      <c r="J39" s="70">
        <f>DATOS!K11</f>
        <v>0</v>
      </c>
      <c r="K39" s="71">
        <f ca="1">DATOS!M11</f>
        <v>177</v>
      </c>
      <c r="L39" s="71">
        <f ca="1">DATOS!O11</f>
        <v>177</v>
      </c>
      <c r="M39" s="70" t="str">
        <f>DATOS!Q11</f>
        <v>-</v>
      </c>
      <c r="N39" s="72">
        <f>DATOS!S11</f>
        <v>148685.80166666658</v>
      </c>
      <c r="O39" s="72">
        <f>DATOS!T11</f>
        <v>37800</v>
      </c>
      <c r="P39" s="72">
        <f>DATOS!U11</f>
        <v>186485.80166666658</v>
      </c>
      <c r="Q39" s="72">
        <f>DATOS!V11</f>
        <v>142.91852002288906</v>
      </c>
      <c r="R39" s="69" t="str">
        <f>DATOS!D11</f>
        <v>T13</v>
      </c>
      <c r="S39" s="69" t="str">
        <f>DATOS!B11</f>
        <v>Paine</v>
      </c>
      <c r="T39" s="69"/>
    </row>
    <row r="40" spans="1:20" ht="21" customHeight="1" x14ac:dyDescent="0.25">
      <c r="A40" s="62">
        <f ca="1">IF(DATOS!$R$9="FUERA DE SERVICIO",1,IF(DATOS!$R$9="EN MANTENCIÓN",2,IF(OR(IFERROR(DATOS!$M$9&lt;0,FALSE),IFERROR(DATOS!$O$9&lt;0,FALSE)),3,IF(OR(IFERROR(AND(DATOS!$M$9&gt;=0,DATOS!$M$9&lt;=30),FALSE),IFERROR(AND(DATOS!$O$9&gt;=0,DATOS!$O$9&lt;=30),FALSE)),4,IF(IFERROR(AND(DATOS!$Q$9&gt;=0,DATOS!$Q$9&lt;=10000),FALSE),5,6)))))</f>
        <v>5</v>
      </c>
      <c r="B40" s="62" t="str">
        <f>DATOS!R9</f>
        <v>OPERATIVA</v>
      </c>
      <c r="C40" s="62" t="str">
        <f>DATOS!A9</f>
        <v>Vehiculo</v>
      </c>
      <c r="D40" s="62" t="str">
        <f>DATOS!H9</f>
        <v>TTWS70</v>
      </c>
      <c r="E40" s="62" t="str">
        <f>DATOS!E9</f>
        <v xml:space="preserve">Maxus </v>
      </c>
      <c r="F40" s="62" t="str">
        <f>DATOS!F9</f>
        <v>T6 DCAB 4X2 2.0</v>
      </c>
      <c r="G40" s="62">
        <f>DATOS!G9</f>
        <v>2024</v>
      </c>
      <c r="H40" s="62" t="str">
        <f>DATOS!C9</f>
        <v>CAMPO RULO</v>
      </c>
      <c r="I40" s="62" t="str">
        <f>DATOS!B9</f>
        <v>Rulo</v>
      </c>
      <c r="J40" s="66">
        <f>DATOS!K9</f>
        <v>32559</v>
      </c>
      <c r="K40" s="67">
        <f ca="1">DATOS!M9</f>
        <v>208</v>
      </c>
      <c r="L40" s="67">
        <f ca="1">DATOS!O9</f>
        <v>208</v>
      </c>
      <c r="M40" s="66">
        <f>DATOS!Q9</f>
        <v>7441</v>
      </c>
      <c r="N40" s="68">
        <f>DATOS!S9</f>
        <v>214525.28888888887</v>
      </c>
      <c r="O40" s="68">
        <f>DATOS!T9</f>
        <v>120599</v>
      </c>
      <c r="P40" s="68">
        <f>DATOS!U9</f>
        <v>335124.2888888889</v>
      </c>
      <c r="Q40" s="68">
        <f>DATOS!V9</f>
        <v>178.01992493473549</v>
      </c>
      <c r="R40" s="62" t="str">
        <f>DATOS!D9</f>
        <v>CMTA10</v>
      </c>
      <c r="S40" s="62" t="str">
        <f>DATOS!B9</f>
        <v>Rulo</v>
      </c>
      <c r="T40" s="62"/>
    </row>
    <row r="41" spans="1:20" ht="21" customHeight="1" x14ac:dyDescent="0.25">
      <c r="A41" s="69">
        <f ca="1">IF(DATOS!$R$5="FUERA DE SERVICIO",1,IF(DATOS!$R$5="EN MANTENCIÓN",2,IF(OR(IFERROR(DATOS!$M$5&lt;0,FALSE),IFERROR(DATOS!$O$5&lt;0,FALSE)),3,IF(OR(IFERROR(AND(DATOS!$M$5&gt;=0,DATOS!$M$5&lt;=30),FALSE),IFERROR(AND(DATOS!$O$5&gt;=0,DATOS!$O$5&lt;=30),FALSE)),4,IF(IFERROR(AND(DATOS!$Q$5&gt;=0,DATOS!$Q$5&lt;=10000),FALSE),5,6)))))</f>
        <v>6</v>
      </c>
      <c r="B41" s="69" t="str">
        <f>DATOS!R5</f>
        <v>OPERATIVA</v>
      </c>
      <c r="C41" s="69" t="str">
        <f>DATOS!A5</f>
        <v>Vehiculo</v>
      </c>
      <c r="D41" s="69" t="str">
        <f>DATOS!H5</f>
        <v>TTWS71</v>
      </c>
      <c r="E41" s="69" t="str">
        <f>DATOS!E5</f>
        <v xml:space="preserve">Maxus </v>
      </c>
      <c r="F41" s="69" t="str">
        <f>DATOS!F5</f>
        <v>T6 DCAB 4X2 2.0</v>
      </c>
      <c r="G41" s="69">
        <f>DATOS!G5</f>
        <v>2024</v>
      </c>
      <c r="H41" s="69" t="str">
        <f>DATOS!C5</f>
        <v>CAMPO CERRILLOS</v>
      </c>
      <c r="I41" s="69" t="str">
        <f>DATOS!B5</f>
        <v>Cerrillos</v>
      </c>
      <c r="J41" s="70">
        <f>DATOS!K5</f>
        <v>13750</v>
      </c>
      <c r="K41" s="71">
        <f ca="1">DATOS!M5</f>
        <v>267</v>
      </c>
      <c r="L41" s="71">
        <f ca="1">DATOS!O5</f>
        <v>267</v>
      </c>
      <c r="M41" s="70">
        <f>DATOS!Q5</f>
        <v>11250</v>
      </c>
      <c r="N41" s="72">
        <f>DATOS!S5</f>
        <v>319480.6788888888</v>
      </c>
      <c r="O41" s="72">
        <f>DATOS!T5</f>
        <v>155599</v>
      </c>
      <c r="P41" s="72">
        <f>DATOS!U5</f>
        <v>475079.6788888888</v>
      </c>
      <c r="Q41" s="72">
        <f>DATOS!V5</f>
        <v>262.92236451469296</v>
      </c>
      <c r="R41" s="69" t="str">
        <f>DATOS!D5</f>
        <v>CMTA11</v>
      </c>
      <c r="S41" s="69" t="str">
        <f>DATOS!B5</f>
        <v>Cerrillos</v>
      </c>
      <c r="T41" s="69"/>
    </row>
    <row r="42" spans="1:20" ht="21" customHeight="1" x14ac:dyDescent="0.25">
      <c r="A42" s="62">
        <f ca="1">IF(DATOS!$R$12="FUERA DE SERVICIO",1,IF(DATOS!$R$12="EN MANTENCIÓN",2,IF(OR(IFERROR(DATOS!$M$12&lt;0,FALSE),IFERROR(DATOS!$O$12&lt;0,FALSE)),3,IF(OR(IFERROR(AND(DATOS!$M$12&gt;=0,DATOS!$M$12&lt;=30),FALSE),IFERROR(AND(DATOS!$O$12&gt;=0,DATOS!$O$12&lt;=30),FALSE)),4,IF(IFERROR(AND(DATOS!$Q$12&gt;=0,DATOS!$Q$12&lt;=10000),FALSE),5,6)))))</f>
        <v>6</v>
      </c>
      <c r="B42" s="62" t="str">
        <f>DATOS!R12</f>
        <v>OPERATIVA</v>
      </c>
      <c r="C42" s="62" t="str">
        <f>DATOS!A12</f>
        <v>TRACTOR</v>
      </c>
      <c r="D42" s="62" t="str">
        <f>DATOS!H12</f>
        <v>TZSG44</v>
      </c>
      <c r="E42" s="62" t="str">
        <f>DATOS!E12</f>
        <v>Kubota</v>
      </c>
      <c r="F42" s="62" t="str">
        <f>DATOS!F12</f>
        <v>M8540 N</v>
      </c>
      <c r="G42" s="62">
        <f>DATOS!G12</f>
        <v>2025</v>
      </c>
      <c r="H42" s="62" t="str">
        <f>DATOS!C12</f>
        <v>T14</v>
      </c>
      <c r="I42" s="62" t="str">
        <f>DATOS!B12</f>
        <v>Rulo</v>
      </c>
      <c r="J42" s="66">
        <f>DATOS!K12</f>
        <v>0</v>
      </c>
      <c r="K42" s="67">
        <f ca="1">DATOS!M12</f>
        <v>908</v>
      </c>
      <c r="L42" s="67">
        <f ca="1">DATOS!O12</f>
        <v>908</v>
      </c>
      <c r="M42" s="66" t="str">
        <f>DATOS!Q12</f>
        <v>-</v>
      </c>
      <c r="N42" s="68">
        <f>DATOS!S12</f>
        <v>134734.185</v>
      </c>
      <c r="O42" s="68">
        <f>DATOS!T12</f>
        <v>37800</v>
      </c>
      <c r="P42" s="68">
        <f>DATOS!U12</f>
        <v>172534.185</v>
      </c>
      <c r="Q42" s="68">
        <f>DATOS!V12</f>
        <v>244.27889706923406</v>
      </c>
      <c r="R42" s="62" t="str">
        <f>DATOS!D12</f>
        <v>T14</v>
      </c>
      <c r="S42" s="62" t="str">
        <f>DATOS!B12</f>
        <v>Rulo</v>
      </c>
      <c r="T42" s="62"/>
    </row>
    <row r="43" spans="1:20" ht="21" customHeight="1" x14ac:dyDescent="0.25"/>
    <row r="44" spans="1:20" ht="21" customHeight="1" x14ac:dyDescent="0.25"/>
    <row r="45" spans="1:20" ht="21" customHeight="1" x14ac:dyDescent="0.25">
      <c r="A45" s="132" t="s">
        <v>86</v>
      </c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</row>
    <row r="46" spans="1:20" ht="21" customHeight="1" x14ac:dyDescent="0.25"/>
    <row r="47" spans="1:20" ht="21" customHeight="1" x14ac:dyDescent="0.25"/>
    <row r="48" spans="1:20" ht="21" customHeight="1" x14ac:dyDescent="0.25"/>
  </sheetData>
  <autoFilter ref="A21:T42" xr:uid="{00000000-0009-0000-0000-000000000000}"/>
  <mergeCells count="54">
    <mergeCell ref="O4:P4"/>
    <mergeCell ref="E6:F6"/>
    <mergeCell ref="Q4:R4"/>
    <mergeCell ref="M9:P9"/>
    <mergeCell ref="C5:D5"/>
    <mergeCell ref="Q9:T9"/>
    <mergeCell ref="C6:D6"/>
    <mergeCell ref="I6:J6"/>
    <mergeCell ref="A8:D8"/>
    <mergeCell ref="M8:P8"/>
    <mergeCell ref="I8:L8"/>
    <mergeCell ref="C4:D4"/>
    <mergeCell ref="E4:F4"/>
    <mergeCell ref="A9:D9"/>
    <mergeCell ref="I9:L9"/>
    <mergeCell ref="O5:P5"/>
    <mergeCell ref="E5:F5"/>
    <mergeCell ref="A45:T45"/>
    <mergeCell ref="A10:D10"/>
    <mergeCell ref="A6:B6"/>
    <mergeCell ref="Q5:R5"/>
    <mergeCell ref="Q12:S12"/>
    <mergeCell ref="L12:N12"/>
    <mergeCell ref="G12:I12"/>
    <mergeCell ref="A20:T20"/>
    <mergeCell ref="Q6:R6"/>
    <mergeCell ref="A5:B5"/>
    <mergeCell ref="G5:H5"/>
    <mergeCell ref="K6:L6"/>
    <mergeCell ref="S6:T6"/>
    <mergeCell ref="I5:J5"/>
    <mergeCell ref="A12:E12"/>
    <mergeCell ref="M6:N6"/>
    <mergeCell ref="Q8:T8"/>
    <mergeCell ref="I10:L10"/>
    <mergeCell ref="O6:P6"/>
    <mergeCell ref="E8:H8"/>
    <mergeCell ref="G6:H6"/>
    <mergeCell ref="M5:N5"/>
    <mergeCell ref="R1:T1"/>
    <mergeCell ref="M10:P10"/>
    <mergeCell ref="E10:H10"/>
    <mergeCell ref="Q10:T10"/>
    <mergeCell ref="A1:Q2"/>
    <mergeCell ref="A4:B4"/>
    <mergeCell ref="G4:H4"/>
    <mergeCell ref="I4:J4"/>
    <mergeCell ref="E9:H9"/>
    <mergeCell ref="S5:T5"/>
    <mergeCell ref="K4:L4"/>
    <mergeCell ref="M4:N4"/>
    <mergeCell ref="S4:T4"/>
    <mergeCell ref="R2:T2"/>
    <mergeCell ref="K5:L5"/>
  </mergeCells>
  <conditionalFormatting sqref="A14:A18">
    <cfRule type="cellIs" dxfId="27" priority="4" operator="equal">
      <formula>1</formula>
    </cfRule>
    <cfRule type="cellIs" dxfId="26" priority="5" operator="equal">
      <formula>2</formula>
    </cfRule>
    <cfRule type="cellIs" dxfId="25" priority="6" operator="equal">
      <formula>3</formula>
    </cfRule>
  </conditionalFormatting>
  <conditionalFormatting sqref="A22:A42">
    <cfRule type="cellIs" dxfId="24" priority="7" operator="equal">
      <formula>1</formula>
    </cfRule>
    <cfRule type="cellIs" dxfId="23" priority="8" operator="equal">
      <formula>2</formula>
    </cfRule>
    <cfRule type="cellIs" dxfId="22" priority="9" operator="equal">
      <formula>3</formula>
    </cfRule>
    <cfRule type="cellIs" dxfId="21" priority="10" operator="equal">
      <formula>4</formula>
    </cfRule>
    <cfRule type="cellIs" dxfId="20" priority="11" operator="equal">
      <formula>5</formula>
    </cfRule>
  </conditionalFormatting>
  <conditionalFormatting sqref="B22:B42">
    <cfRule type="expression" dxfId="19" priority="12">
      <formula>$A22=1</formula>
    </cfRule>
    <cfRule type="expression" dxfId="18" priority="13">
      <formula>$A22=2</formula>
    </cfRule>
  </conditionalFormatting>
  <conditionalFormatting sqref="K22:L42">
    <cfRule type="cellIs" dxfId="17" priority="14" operator="lessThan">
      <formula>0</formula>
    </cfRule>
    <cfRule type="cellIs" dxfId="16" priority="15" operator="between">
      <formula>0</formula>
      <formula>30</formula>
    </cfRule>
  </conditionalFormatting>
  <conditionalFormatting sqref="M22:M42">
    <cfRule type="cellIs" dxfId="15" priority="16" operator="between">
      <formula>0</formula>
      <formula>10000</formula>
    </cfRule>
  </conditionalFormatting>
  <conditionalFormatting sqref="Q14:S18">
    <cfRule type="containsText" dxfId="14" priority="3" operator="containsText" text="fuera">
      <formula>NOT(ISERROR(SEARCH("fuera",Q14)))</formula>
    </cfRule>
  </conditionalFormatting>
  <conditionalFormatting sqref="S14:S18">
    <cfRule type="containsText" dxfId="13" priority="1" operator="containsText" text="gases">
      <formula>NOT(ISERROR(SEARCH("gases",S14)))</formula>
    </cfRule>
    <cfRule type="containsText" dxfId="12" priority="2" operator="containsText" text="en man">
      <formula>NOT(ISERROR(SEARCH("en man",S14)))</formula>
    </cfRule>
  </conditionalFormatting>
  <pageMargins left="0.75" right="0.75" top="1" bottom="1" header="0.5" footer="0.5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Z22"/>
  <sheetViews>
    <sheetView tabSelected="1" workbookViewId="0">
      <selection activeCell="N7" sqref="N7"/>
    </sheetView>
  </sheetViews>
  <sheetFormatPr baseColWidth="10" defaultRowHeight="15" x14ac:dyDescent="0.25"/>
  <cols>
    <col min="1" max="1" width="10.5703125" customWidth="1"/>
    <col min="2" max="2" width="12.5703125" customWidth="1"/>
    <col min="3" max="3" width="16.7109375" customWidth="1"/>
    <col min="4" max="4" width="9.42578125" hidden="1" customWidth="1"/>
    <col min="5" max="5" width="11.28515625" customWidth="1"/>
    <col min="6" max="6" width="16.42578125" customWidth="1"/>
    <col min="7" max="7" width="8.85546875" customWidth="1"/>
    <col min="8" max="8" width="10.42578125" style="1" customWidth="1"/>
    <col min="9" max="9" width="9.85546875" style="1" customWidth="1"/>
    <col min="10" max="10" width="8.28515625" customWidth="1"/>
    <col min="11" max="11" width="10" customWidth="1"/>
    <col min="12" max="12" width="13.85546875" bestFit="1" customWidth="1"/>
    <col min="13" max="13" width="6.7109375" style="1" customWidth="1"/>
    <col min="14" max="14" width="17.85546875" bestFit="1" customWidth="1"/>
    <col min="15" max="15" width="9.42578125" style="1" customWidth="1"/>
    <col min="16" max="16" width="15" style="1" bestFit="1" customWidth="1"/>
    <col min="17" max="17" width="10.28515625" style="1" customWidth="1"/>
    <col min="18" max="18" width="15.85546875" customWidth="1"/>
    <col min="19" max="19" width="9.5703125" customWidth="1"/>
    <col min="20" max="20" width="10.7109375" customWidth="1"/>
    <col min="21" max="21" width="10.140625" customWidth="1"/>
    <col min="22" max="23" width="9.5703125" customWidth="1"/>
    <col min="24" max="24" width="18.140625" bestFit="1" customWidth="1"/>
    <col min="25" max="25" width="0" hidden="1" customWidth="1"/>
  </cols>
  <sheetData>
    <row r="1" spans="1:26" ht="47.25" customHeight="1" x14ac:dyDescent="0.25">
      <c r="A1" s="40" t="s">
        <v>87</v>
      </c>
      <c r="B1" s="41" t="s">
        <v>88</v>
      </c>
      <c r="C1" s="41" t="s">
        <v>89</v>
      </c>
      <c r="D1" s="42" t="s">
        <v>90</v>
      </c>
      <c r="E1" s="42" t="s">
        <v>91</v>
      </c>
      <c r="F1" s="42" t="s">
        <v>92</v>
      </c>
      <c r="G1" s="41" t="s">
        <v>93</v>
      </c>
      <c r="H1" s="42" t="s">
        <v>94</v>
      </c>
      <c r="I1" s="41" t="s">
        <v>95</v>
      </c>
      <c r="J1" s="42" t="s">
        <v>96</v>
      </c>
      <c r="K1" s="41" t="s">
        <v>97</v>
      </c>
      <c r="L1" s="41" t="s">
        <v>98</v>
      </c>
      <c r="M1" s="41" t="s">
        <v>99</v>
      </c>
      <c r="N1" s="41" t="s">
        <v>100</v>
      </c>
      <c r="O1" s="41" t="s">
        <v>101</v>
      </c>
      <c r="P1" s="41" t="s">
        <v>205</v>
      </c>
      <c r="Q1" s="41" t="s">
        <v>102</v>
      </c>
      <c r="R1" s="42" t="s">
        <v>103</v>
      </c>
      <c r="S1" s="41" t="s">
        <v>104</v>
      </c>
      <c r="T1" s="41" t="s">
        <v>105</v>
      </c>
      <c r="U1" s="41" t="s">
        <v>51</v>
      </c>
      <c r="V1" s="58" t="s">
        <v>106</v>
      </c>
      <c r="W1" s="58" t="s">
        <v>195</v>
      </c>
      <c r="X1" s="42" t="s">
        <v>194</v>
      </c>
      <c r="Y1" s="42" t="s">
        <v>206</v>
      </c>
    </row>
    <row r="2" spans="1:26" ht="12.95" customHeight="1" x14ac:dyDescent="0.25">
      <c r="A2" s="43" t="s">
        <v>107</v>
      </c>
      <c r="B2" s="28" t="s">
        <v>108</v>
      </c>
      <c r="C2" s="29" t="str">
        <f>_xlfn.XLOOKUP(Tabla1[[#This Row],[MAQUINARIA]],Hoja3!A:A,Hoja3!C:C)</f>
        <v>RODRIGO SALINAS</v>
      </c>
      <c r="D2" s="29" t="s">
        <v>109</v>
      </c>
      <c r="E2" s="99" t="s">
        <v>110</v>
      </c>
      <c r="F2" s="29" t="s">
        <v>111</v>
      </c>
      <c r="G2" s="28">
        <v>2022</v>
      </c>
      <c r="H2" s="28" t="s">
        <v>112</v>
      </c>
      <c r="I2" s="100">
        <f>SUMIF(GPS!$D2:$D$1048576,Tabla1[[#This Row],[MAQUINARIA]],GPS!$G$2:$G$1048576)</f>
        <v>4742.93</v>
      </c>
      <c r="J2" s="101"/>
      <c r="K2" s="102">
        <f>Tabla1[[#This Row],[KM]]+SUMIF(GPS!$D$746:$D$1048570,Tabla1[[#This Row],[MAQUINARIA]],GPS!$G$746:$G$1048570)</f>
        <v>0</v>
      </c>
      <c r="L2" s="28" t="s">
        <v>113</v>
      </c>
      <c r="M2" s="103" t="str">
        <f t="shared" ref="M2:M22" ca="1" si="0">IF(L2="-","-",L2-TODAY())</f>
        <v>-</v>
      </c>
      <c r="N2" s="104" t="str">
        <f>Tabla1[[#This Row],[REVISION TECNICA]]</f>
        <v>-</v>
      </c>
      <c r="O2" s="28" t="str">
        <f ca="1">IF(Tabla1[[#This Row],[GASES Y CONTAMINANTES]]="-","-",Tabla1[[#This Row],[GASES Y CONTAMINANTES]]-TODAY())</f>
        <v>-</v>
      </c>
      <c r="P2" s="105"/>
      <c r="Q2" s="100" t="str">
        <f>IF(Tabla1[[#This Row],[PROXIMO Cambio de aceite]]="","-",Tabla1[[#This Row],[PROXIMO Cambio de aceite]]-Tabla1[[#This Row],[KM ACTUAL]])</f>
        <v>-</v>
      </c>
      <c r="R2" s="30" t="s">
        <v>39</v>
      </c>
      <c r="S2" s="106">
        <f>SUMIF(GPS!D:D,Tabla1[[#This Row],[MAQUINARIA]],GPS!M:M)</f>
        <v>632917.65888888913</v>
      </c>
      <c r="T2" s="106">
        <f>SUMIF('GASTOS Y MANTENCIONES'!B:B,C2,'GASTOS Y MANTENCIONES'!C:C)</f>
        <v>37800</v>
      </c>
      <c r="U2" s="106">
        <f>Tabla1[[#This Row],[GASTO EN COMBUSTIBLES]]+Tabla1[[#This Row],[$ EN MANTENCIÓN]]</f>
        <v>670717.65888888913</v>
      </c>
      <c r="V2" s="107">
        <f>IFERROR((Tabla1[[#This Row],[GASTO EN COMBUSTIBLES]]+Tabla1[[#This Row],[$ EN MANTENCIÓN]])/Tabla1[[#This Row],[KM DE comienzo]],"-")</f>
        <v>141.41420153552531</v>
      </c>
      <c r="W2" s="108">
        <f t="shared" ref="W2:W22" ca="1" si="1">IF($R2="FUERA DE SERVICIO",1,IF($R2="EN MANTENCIÓN",2,IF(OR(AND(ISNUMBER($M2),$M2&lt;0),AND(ISNUMBER($O2),$O2&lt;0)),3,IF(OR(AND(ISNUMBER($M2),$M2&lt;=30),AND(ISNUMBER($O2),$O2&lt;=30)),4,IF(AND(ISNUMBER($Q2),$Q2&lt;=10000),5,6)))))</f>
        <v>6</v>
      </c>
      <c r="X2" s="73" t="str">
        <f t="shared" ref="X2:X22" ca="1" si="2">IF($R2="FUERA DE SERVICIO","Fuera de servicio",IF($R2="EN MANTENCIÓN","En mantención",IF(AND(ISNUMBER($M2),$M2&lt;0),"RT vencida",IF(AND(ISNUMBER($O2),$O2&lt;0),"Gases vencidos",IF(AND(ISNUMBER($M2),$M2&lt;=30),"RT próxima",IF(AND(ISNUMBER($O2),$O2&lt;=30),"Gases próximos",IF(AND(ISNUMBER($Q2),$Q2&lt;=500),"Cambio aceite próximo","OK")))))))</f>
        <v>OK</v>
      </c>
      <c r="Y2" s="83">
        <f ca="1">Tabla1[[#This Row],[PRIORIDAD]]+(ROW()/1000)</f>
        <v>6.0019999999999998</v>
      </c>
      <c r="Z2" s="4" t="str" cm="1">
        <f t="array" ref="Z2:Z5">_xlfn.UNIQUE(Tabla1[ESTADO])</f>
        <v>ARRIENDO</v>
      </c>
    </row>
    <row r="3" spans="1:26" ht="12.95" customHeight="1" x14ac:dyDescent="0.25">
      <c r="A3" s="45" t="s">
        <v>107</v>
      </c>
      <c r="B3" s="32" t="s">
        <v>108</v>
      </c>
      <c r="C3" s="30" t="str">
        <f>_xlfn.XLOOKUP(Tabla1[[#This Row],[MAQUINARIA]],Hoja3!A:A,Hoja3!C:C)</f>
        <v>VG PIÑALEO</v>
      </c>
      <c r="D3" s="30" t="s">
        <v>114</v>
      </c>
      <c r="E3" s="31" t="s">
        <v>115</v>
      </c>
      <c r="F3" s="30" t="s">
        <v>116</v>
      </c>
      <c r="G3" s="32">
        <v>2018</v>
      </c>
      <c r="H3" s="32" t="s">
        <v>117</v>
      </c>
      <c r="I3" s="33">
        <f>SUMIF(GPS!$D3:$D$1048576,Tabla1[[#This Row],[MAQUINARIA]],GPS!$G$2:$G$1048576)</f>
        <v>1785.13</v>
      </c>
      <c r="J3" s="34">
        <v>111371</v>
      </c>
      <c r="K3" s="35">
        <f>Tabla1[[#This Row],[KM]]+SUMIF(GPS!$D$746:$D$1048570,Tabla1[[#This Row],[MAQUINARIA]],GPS!$G$746:$G$1048570)</f>
        <v>111468.22</v>
      </c>
      <c r="L3" s="39">
        <v>46296</v>
      </c>
      <c r="M3" s="36">
        <f t="shared" ca="1" si="0"/>
        <v>85</v>
      </c>
      <c r="N3" s="59">
        <v>46266</v>
      </c>
      <c r="O3" s="32">
        <f ca="1">IF(Tabla1[[#This Row],[GASES Y CONTAMINANTES]]="-","-",Tabla1[[#This Row],[GASES Y CONTAMINANTES]]-TODAY())</f>
        <v>55</v>
      </c>
      <c r="P3" s="37">
        <v>110900</v>
      </c>
      <c r="Q3" s="33">
        <f>IF(Tabla1[[#This Row],[PROXIMO Cambio de aceite]]="","-",Tabla1[[#This Row],[PROXIMO Cambio de aceite]]-Tabla1[[#This Row],[KM ACTUAL]])</f>
        <v>-568.22000000000116</v>
      </c>
      <c r="R3" s="30" t="s">
        <v>67</v>
      </c>
      <c r="S3" s="38">
        <f>SUMIF(GPS!D:D,Tabla1[[#This Row],[MAQUINARIA]],GPS!M:M)</f>
        <v>371846.40909090923</v>
      </c>
      <c r="T3" s="38">
        <f>SUMIF('GASTOS Y MANTENCIONES'!B:B,C3,'GASTOS Y MANTENCIONES'!C:C)</f>
        <v>70800</v>
      </c>
      <c r="U3" s="38">
        <f>Tabla1[[#This Row],[GASTO EN COMBUSTIBLES]]+Tabla1[[#This Row],[$ EN MANTENCIÓN]]</f>
        <v>442646.40909090923</v>
      </c>
      <c r="V3" s="44">
        <f>IFERROR((Tabla1[[#This Row],[GASTO EN COMBUSTIBLES]]+Tabla1[[#This Row],[$ EN MANTENCIÓN]])/Tabla1[[#This Row],[KM DE comienzo]],"-")</f>
        <v>247.96312262463192</v>
      </c>
      <c r="W3" s="74">
        <f t="shared" ca="1" si="1"/>
        <v>5</v>
      </c>
      <c r="X3" s="38" t="str">
        <f t="shared" ca="1" si="2"/>
        <v>Cambio aceite próximo</v>
      </c>
      <c r="Y3" s="83">
        <f ca="1">Tabla1[[#This Row],[PRIORIDAD]]+(ROW()/1000)</f>
        <v>5.0030000000000001</v>
      </c>
      <c r="Z3" t="str">
        <v>OPERATIVA</v>
      </c>
    </row>
    <row r="4" spans="1:26" ht="12.95" customHeight="1" x14ac:dyDescent="0.25">
      <c r="A4" s="45" t="s">
        <v>107</v>
      </c>
      <c r="B4" s="32" t="s">
        <v>108</v>
      </c>
      <c r="C4" s="30" t="str">
        <f>_xlfn.XLOOKUP(Tabla1[[#This Row],[MAQUINARIA]],Hoja3!A:A,Hoja3!C:C)</f>
        <v>VG GERARDO</v>
      </c>
      <c r="D4" s="30" t="s">
        <v>118</v>
      </c>
      <c r="E4" s="31" t="s">
        <v>115</v>
      </c>
      <c r="F4" s="30" t="s">
        <v>116</v>
      </c>
      <c r="G4" s="32">
        <v>2018</v>
      </c>
      <c r="H4" s="32" t="s">
        <v>119</v>
      </c>
      <c r="I4" s="33">
        <f>SUMIF(GPS!$D4:$D$1048576,Tabla1[[#This Row],[MAQUINARIA]],GPS!$G$2:$G$1048576)</f>
        <v>1986.9699999999996</v>
      </c>
      <c r="J4" s="34">
        <v>113508</v>
      </c>
      <c r="K4" s="35">
        <f>Tabla1[[#This Row],[KM]]+SUMIF(GPS!$D$746:$D$1048570,Tabla1[[#This Row],[MAQUINARIA]],GPS!$G$746:$G$1048570)</f>
        <v>113508.42</v>
      </c>
      <c r="L4" s="39">
        <v>46388</v>
      </c>
      <c r="M4" s="36">
        <f t="shared" ca="1" si="0"/>
        <v>177</v>
      </c>
      <c r="N4" s="59">
        <v>46388</v>
      </c>
      <c r="O4" s="32">
        <f ca="1">IF(Tabla1[[#This Row],[GASES Y CONTAMINANTES]]="-","-",Tabla1[[#This Row],[GASES Y CONTAMINANTES]]-TODAY())</f>
        <v>177</v>
      </c>
      <c r="P4" s="37">
        <v>117748</v>
      </c>
      <c r="Q4" s="33">
        <f>IF(Tabla1[[#This Row],[PROXIMO Cambio de aceite]]="","-",Tabla1[[#This Row],[PROXIMO Cambio de aceite]]-Tabla1[[#This Row],[KM ACTUAL]])</f>
        <v>4239.5800000000017</v>
      </c>
      <c r="R4" s="30" t="s">
        <v>67</v>
      </c>
      <c r="S4" s="38">
        <f>SUMIF(GPS!D:D,Tabla1[[#This Row],[MAQUINARIA]],GPS!M:M)</f>
        <v>341364.95454545465</v>
      </c>
      <c r="T4" s="38">
        <f>SUMIF('GASTOS Y MANTENCIONES'!B:B,C4,'GASTOS Y MANTENCIONES'!C:C)</f>
        <v>135674</v>
      </c>
      <c r="U4" s="38">
        <f>Tabla1[[#This Row],[GASTO EN COMBUSTIBLES]]+Tabla1[[#This Row],[$ EN MANTENCIÓN]]</f>
        <v>477038.95454545465</v>
      </c>
      <c r="V4" s="44">
        <f>IFERROR((Tabla1[[#This Row],[GASTO EN COMBUSTIBLES]]+Tabla1[[#This Row],[$ EN MANTENCIÓN]])/Tabla1[[#This Row],[KM DE comienzo]],"-")</f>
        <v>240.08362207051678</v>
      </c>
      <c r="W4" s="74">
        <f ca="1">IF($R4="FUERA DE SERVICIO",1,IF($R4="EN MANTENCIÓN",2,IF(OR(AND(ISNUMBER($M4),$M4&lt;0),AND(ISNUMBER($O4),$O4&lt;0)),3,IF(OR(AND(ISNUMBER($M4),$M4&lt;=30),AND(ISNUMBER($O4),$O4&lt;=30)),4,IF(AND(ISNUMBER($Q4),$Q4&lt;=10000),5,6)))))</f>
        <v>5</v>
      </c>
      <c r="X4" s="38" t="str">
        <f t="shared" ca="1" si="2"/>
        <v>OK</v>
      </c>
      <c r="Y4" s="83">
        <f ca="1">Tabla1[[#This Row],[PRIORIDAD]]+(ROW()/1000)</f>
        <v>5.0039999999999996</v>
      </c>
      <c r="Z4" t="str">
        <v>EN MANTENCIÓN</v>
      </c>
    </row>
    <row r="5" spans="1:26" ht="12.95" customHeight="1" x14ac:dyDescent="0.25">
      <c r="A5" s="45" t="s">
        <v>107</v>
      </c>
      <c r="B5" s="32" t="s">
        <v>120</v>
      </c>
      <c r="C5" s="30" t="str">
        <f>_xlfn.XLOOKUP(Tabla1[[#This Row],[MAQUINARIA]],Hoja3!A:A,Hoja3!C:C)</f>
        <v>CAMPO CERRILLOS</v>
      </c>
      <c r="D5" s="30" t="s">
        <v>121</v>
      </c>
      <c r="E5" s="31" t="s">
        <v>122</v>
      </c>
      <c r="F5" s="30" t="s">
        <v>123</v>
      </c>
      <c r="G5" s="32">
        <v>2024</v>
      </c>
      <c r="H5" s="32" t="s">
        <v>124</v>
      </c>
      <c r="I5" s="33">
        <f>SUMIF(GPS!$D5:$D$1048576,Tabla1[[#This Row],[MAQUINARIA]],GPS!$G$2:$G$1048576)</f>
        <v>1806.9199999999994</v>
      </c>
      <c r="J5" s="34">
        <v>13750</v>
      </c>
      <c r="K5" s="35">
        <f>Tabla1[[#This Row],[KM]]+SUMIF(GPS!$D$746:$D$1048570,Tabla1[[#This Row],[MAQUINARIA]],GPS!$G$746:$G$1048570)</f>
        <v>13750</v>
      </c>
      <c r="L5" s="39">
        <v>46478</v>
      </c>
      <c r="M5" s="36">
        <f t="shared" ca="1" si="0"/>
        <v>267</v>
      </c>
      <c r="N5" s="59">
        <f>Tabla1[[#This Row],[REVISION TECNICA]]</f>
        <v>46478</v>
      </c>
      <c r="O5" s="32">
        <f ca="1">IF(Tabla1[[#This Row],[GASES Y CONTAMINANTES]]="-","-",Tabla1[[#This Row],[GASES Y CONTAMINANTES]]-TODAY())</f>
        <v>267</v>
      </c>
      <c r="P5" s="37">
        <v>25000</v>
      </c>
      <c r="Q5" s="33">
        <f>IF(Tabla1[[#This Row],[PROXIMO Cambio de aceite]]="","-",Tabla1[[#This Row],[PROXIMO Cambio de aceite]]-Tabla1[[#This Row],[KM ACTUAL]])</f>
        <v>11250</v>
      </c>
      <c r="R5" s="30" t="s">
        <v>67</v>
      </c>
      <c r="S5" s="38">
        <f>SUMIF(GPS!D:D,Tabla1[[#This Row],[MAQUINARIA]],GPS!M:M)</f>
        <v>319480.6788888888</v>
      </c>
      <c r="T5" s="38">
        <f>SUMIF('GASTOS Y MANTENCIONES'!B:B,C5,'GASTOS Y MANTENCIONES'!C:C)</f>
        <v>155599</v>
      </c>
      <c r="U5" s="38">
        <f>Tabla1[[#This Row],[GASTO EN COMBUSTIBLES]]+Tabla1[[#This Row],[$ EN MANTENCIÓN]]</f>
        <v>475079.6788888888</v>
      </c>
      <c r="V5" s="44">
        <f>IFERROR((Tabla1[[#This Row],[GASTO EN COMBUSTIBLES]]+Tabla1[[#This Row],[$ EN MANTENCIÓN]])/Tabla1[[#This Row],[KM DE comienzo]],"-")</f>
        <v>262.92236451469296</v>
      </c>
      <c r="W5" s="74">
        <f t="shared" ca="1" si="1"/>
        <v>6</v>
      </c>
      <c r="X5" s="38" t="str">
        <f t="shared" ca="1" si="2"/>
        <v>OK</v>
      </c>
      <c r="Y5" s="83">
        <f ca="1">Tabla1[[#This Row],[PRIORIDAD]]+(ROW()/1000)</f>
        <v>6.0049999999999999</v>
      </c>
      <c r="Z5" t="str">
        <v>FUERA DE SERVICIO</v>
      </c>
    </row>
    <row r="6" spans="1:26" ht="12.95" customHeight="1" x14ac:dyDescent="0.25">
      <c r="A6" s="43" t="s">
        <v>107</v>
      </c>
      <c r="B6" s="28" t="s">
        <v>125</v>
      </c>
      <c r="C6" s="29" t="str">
        <f>_xlfn.XLOOKUP(Tabla1[[#This Row],[MAQUINARIA]],Hoja3!A:A,Hoja3!C:C)</f>
        <v>GONZALO GUERRERO</v>
      </c>
      <c r="D6" s="29" t="s">
        <v>126</v>
      </c>
      <c r="E6" s="99" t="s">
        <v>110</v>
      </c>
      <c r="F6" s="29" t="s">
        <v>111</v>
      </c>
      <c r="G6" s="28">
        <v>2022</v>
      </c>
      <c r="H6" s="28" t="s">
        <v>127</v>
      </c>
      <c r="I6" s="100">
        <f>SUMIF(GPS!$D6:$D$1048576,Tabla1[[#This Row],[MAQUINARIA]],GPS!$G$2:$G$1048576)</f>
        <v>2011.1300000000006</v>
      </c>
      <c r="J6" s="101"/>
      <c r="K6" s="102">
        <f>Tabla1[[#This Row],[KM]]+SUMIF(GPS!$D$746:$D$1048570,Tabla1[[#This Row],[MAQUINARIA]],GPS!$G$746:$G$1048570)</f>
        <v>0</v>
      </c>
      <c r="L6" s="28" t="s">
        <v>113</v>
      </c>
      <c r="M6" s="103" t="str">
        <f t="shared" ca="1" si="0"/>
        <v>-</v>
      </c>
      <c r="N6" s="104" t="str">
        <f>Tabla1[[#This Row],[REVISION TECNICA]]</f>
        <v>-</v>
      </c>
      <c r="O6" s="28" t="str">
        <f ca="1">IF(Tabla1[[#This Row],[GASES Y CONTAMINANTES]]="-","-",Tabla1[[#This Row],[GASES Y CONTAMINANTES]]-TODAY())</f>
        <v>-</v>
      </c>
      <c r="P6" s="105"/>
      <c r="Q6" s="100" t="str">
        <f>IF(Tabla1[[#This Row],[PROXIMO Cambio de aceite]]="","-",Tabla1[[#This Row],[PROXIMO Cambio de aceite]]-Tabla1[[#This Row],[KM ACTUAL]])</f>
        <v>-</v>
      </c>
      <c r="R6" s="30" t="s">
        <v>39</v>
      </c>
      <c r="S6" s="106">
        <f>SUMIF(GPS!D:D,Tabla1[[#This Row],[MAQUINARIA]],GPS!M:M)</f>
        <v>264639.01555555564</v>
      </c>
      <c r="T6" s="106">
        <f>SUMIF('GASTOS Y MANTENCIONES'!B:B,C6,'GASTOS Y MANTENCIONES'!C:C)</f>
        <v>37800</v>
      </c>
      <c r="U6" s="106">
        <f>Tabla1[[#This Row],[GASTO EN COMBUSTIBLES]]+Tabla1[[#This Row],[$ EN MANTENCIÓN]]</f>
        <v>302439.01555555564</v>
      </c>
      <c r="V6" s="107">
        <f>IFERROR((Tabla1[[#This Row],[GASTO EN COMBUSTIBLES]]+Tabla1[[#This Row],[$ EN MANTENCIÓN]])/Tabla1[[#This Row],[KM DE comienzo]],"-")</f>
        <v>150.38262845045102</v>
      </c>
      <c r="W6" s="109">
        <f t="shared" ca="1" si="1"/>
        <v>6</v>
      </c>
      <c r="X6" s="38" t="str">
        <f t="shared" ca="1" si="2"/>
        <v>OK</v>
      </c>
      <c r="Y6" s="83">
        <f ca="1">Tabla1[[#This Row],[PRIORIDAD]]+(ROW()/1000)</f>
        <v>6.0060000000000002</v>
      </c>
    </row>
    <row r="7" spans="1:26" ht="12.95" customHeight="1" x14ac:dyDescent="0.25">
      <c r="A7" s="45" t="s">
        <v>107</v>
      </c>
      <c r="B7" s="32" t="s">
        <v>120</v>
      </c>
      <c r="C7" s="30" t="str">
        <f>_xlfn.XLOOKUP(Tabla1[[#This Row],[MAQUINARIA]],Hoja3!A:A,Hoja3!C:C)</f>
        <v>SERGIO ROJAS</v>
      </c>
      <c r="D7" s="30" t="s">
        <v>128</v>
      </c>
      <c r="E7" s="31" t="s">
        <v>110</v>
      </c>
      <c r="F7" s="30" t="s">
        <v>129</v>
      </c>
      <c r="G7" s="32">
        <v>2018</v>
      </c>
      <c r="H7" s="32" t="s">
        <v>130</v>
      </c>
      <c r="I7" s="33">
        <f>SUMIF(GPS!$D7:$D$1048576,Tabla1[[#This Row],[MAQUINARIA]],GPS!$G$2:$G$1048576)</f>
        <v>1103.5300000000002</v>
      </c>
      <c r="J7" s="34">
        <v>172200</v>
      </c>
      <c r="K7" s="35">
        <f>Tabla1[[#This Row],[KM]]+SUMIF(GPS!$D$746:$D$1048570,Tabla1[[#This Row],[MAQUINARIA]],GPS!$G$746:$G$1048570)</f>
        <v>172278.82</v>
      </c>
      <c r="L7" s="39">
        <v>46419</v>
      </c>
      <c r="M7" s="36">
        <f t="shared" ca="1" si="0"/>
        <v>208</v>
      </c>
      <c r="N7" s="59">
        <f>Tabla1[[#This Row],[REVISION TECNICA]]</f>
        <v>46419</v>
      </c>
      <c r="O7" s="32">
        <f ca="1">IF(Tabla1[[#This Row],[GASES Y CONTAMINANTES]]="-","-",Tabla1[[#This Row],[GASES Y CONTAMINANTES]]-TODAY())</f>
        <v>208</v>
      </c>
      <c r="P7" s="37">
        <v>180219</v>
      </c>
      <c r="Q7" s="33">
        <f>IF(Tabla1[[#This Row],[PROXIMO Cambio de aceite]]="","-",Tabla1[[#This Row],[PROXIMO Cambio de aceite]]-Tabla1[[#This Row],[KM ACTUAL]])</f>
        <v>7940.179999999993</v>
      </c>
      <c r="R7" s="30" t="s">
        <v>67</v>
      </c>
      <c r="S7" s="38">
        <f>SUMIF(GPS!D:D,Tabla1[[#This Row],[MAQUINARIA]],GPS!M:M)</f>
        <v>255877.05333333334</v>
      </c>
      <c r="T7" s="38">
        <f>SUMIF('GASTOS Y MANTENCIONES'!B:B,C7,'GASTOS Y MANTENCIONES'!C:C)</f>
        <v>270796</v>
      </c>
      <c r="U7" s="38">
        <f>Tabla1[[#This Row],[GASTO EN COMBUSTIBLES]]+Tabla1[[#This Row],[$ EN MANTENCIÓN]]</f>
        <v>526673.05333333334</v>
      </c>
      <c r="V7" s="44">
        <f>IFERROR((Tabla1[[#This Row],[GASTO EN COMBUSTIBLES]]+Tabla1[[#This Row],[$ EN MANTENCIÓN]])/Tabla1[[#This Row],[KM DE comienzo]],"-")</f>
        <v>477.26210735850702</v>
      </c>
      <c r="W7" s="74">
        <f t="shared" ca="1" si="1"/>
        <v>5</v>
      </c>
      <c r="X7" s="38" t="str">
        <f t="shared" ca="1" si="2"/>
        <v>OK</v>
      </c>
      <c r="Y7" s="83">
        <f ca="1">Tabla1[[#This Row],[PRIORIDAD]]+(ROW()/1000)</f>
        <v>5.0069999999999997</v>
      </c>
    </row>
    <row r="8" spans="1:26" ht="12.95" customHeight="1" x14ac:dyDescent="0.25">
      <c r="A8" s="45" t="s">
        <v>107</v>
      </c>
      <c r="B8" s="32" t="s">
        <v>125</v>
      </c>
      <c r="C8" s="30" t="str">
        <f>_xlfn.XLOOKUP(Tabla1[[#This Row],[MAQUINARIA]],Hoja3!A:A,Hoja3!C:C)</f>
        <v>CAMPO PAINE</v>
      </c>
      <c r="D8" s="30" t="s">
        <v>131</v>
      </c>
      <c r="E8" s="31" t="s">
        <v>132</v>
      </c>
      <c r="F8" s="30" t="s">
        <v>133</v>
      </c>
      <c r="G8" s="32">
        <v>2015</v>
      </c>
      <c r="H8" s="32" t="s">
        <v>134</v>
      </c>
      <c r="I8" s="33">
        <f>SUMIF(GPS!$D8:$D$1048576,Tabla1[[#This Row],[MAQUINARIA]],GPS!$G$2:$G$1048576)</f>
        <v>2243.1999999999994</v>
      </c>
      <c r="J8" s="34">
        <v>199236</v>
      </c>
      <c r="K8" s="35">
        <f>Tabla1[[#This Row],[KM]]+SUMIF(GPS!$D$746:$D$1048570,Tabla1[[#This Row],[MAQUINARIA]],GPS!$G$746:$G$1048570)</f>
        <v>199236</v>
      </c>
      <c r="L8" s="39">
        <v>46204</v>
      </c>
      <c r="M8" s="36">
        <f t="shared" ca="1" si="0"/>
        <v>-7</v>
      </c>
      <c r="N8" s="59">
        <f>Tabla1[[#This Row],[REVISION TECNICA]]</f>
        <v>46204</v>
      </c>
      <c r="O8" s="32">
        <f ca="1">IF(Tabla1[[#This Row],[GASES Y CONTAMINANTES]]="-","-",Tabla1[[#This Row],[GASES Y CONTAMINANTES]]-TODAY())</f>
        <v>-7</v>
      </c>
      <c r="P8" s="37">
        <v>206000</v>
      </c>
      <c r="Q8" s="33">
        <f>IF(Tabla1[[#This Row],[PROXIMO Cambio de aceite]]="","-",Tabla1[[#This Row],[PROXIMO Cambio de aceite]]-Tabla1[[#This Row],[KM ACTUAL]])</f>
        <v>6764</v>
      </c>
      <c r="R8" s="30" t="s">
        <v>67</v>
      </c>
      <c r="S8" s="38">
        <f>SUMIF(GPS!D:D,Tabla1[[#This Row],[MAQUINARIA]],GPS!M:M)</f>
        <v>220296.76111111103</v>
      </c>
      <c r="T8" s="38">
        <f>SUMIF('GASTOS Y MANTENCIONES'!B:B,C8,'GASTOS Y MANTENCIONES'!C:C)</f>
        <v>107800</v>
      </c>
      <c r="U8" s="38">
        <f>Tabla1[[#This Row],[GASTO EN COMBUSTIBLES]]+Tabla1[[#This Row],[$ EN MANTENCIÓN]]</f>
        <v>328096.76111111103</v>
      </c>
      <c r="V8" s="44">
        <f>IFERROR((Tabla1[[#This Row],[GASTO EN COMBUSTIBLES]]+Tabla1[[#This Row],[$ EN MANTENCIÓN]])/Tabla1[[#This Row],[KM DE comienzo]],"-")</f>
        <v>146.26282146536695</v>
      </c>
      <c r="W8" s="74">
        <f t="shared" ca="1" si="1"/>
        <v>3</v>
      </c>
      <c r="X8" s="38" t="str">
        <f ca="1">IF($R8="FUERA DE SERVICIO","Fuera de servicio",IF($R8="EN MANTENCIÓN","En mantención",IF(AND(ISNUMBER($M8),$M8&lt;0),"RT vencida",IF(AND(ISNUMBER($O8),$O8&lt;0),"Gases vencidos",IF(AND(ISNUMBER($M8),$M8&lt;=30),"RT próxima",IF(AND(ISNUMBER($O8),$O8&lt;=30),"Gases próximos",IF(AND(ISNUMBER($Q8),$Q8&lt;=500),"Cambio aceite próximo","OK")))))))</f>
        <v>RT vencida</v>
      </c>
      <c r="Y8" s="83">
        <f ca="1">Tabla1[[#This Row],[PRIORIDAD]]+(ROW()/1000)</f>
        <v>3.008</v>
      </c>
    </row>
    <row r="9" spans="1:26" ht="12.95" customHeight="1" x14ac:dyDescent="0.25">
      <c r="A9" s="45" t="s">
        <v>107</v>
      </c>
      <c r="B9" s="32" t="s">
        <v>108</v>
      </c>
      <c r="C9" s="30" t="str">
        <f>_xlfn.XLOOKUP(Tabla1[[#This Row],[MAQUINARIA]],Hoja3!A:A,Hoja3!C:C)</f>
        <v>CAMPO RULO</v>
      </c>
      <c r="D9" s="30" t="s">
        <v>135</v>
      </c>
      <c r="E9" s="31" t="s">
        <v>122</v>
      </c>
      <c r="F9" s="30" t="s">
        <v>123</v>
      </c>
      <c r="G9" s="32">
        <v>2024</v>
      </c>
      <c r="H9" s="32" t="s">
        <v>136</v>
      </c>
      <c r="I9" s="33">
        <f>SUMIF(GPS!$D9:$D$1048576,Tabla1[[#This Row],[MAQUINARIA]],GPS!$G$2:$G$1048576)</f>
        <v>1882.51</v>
      </c>
      <c r="J9" s="34">
        <v>32559</v>
      </c>
      <c r="K9" s="35">
        <f>Tabla1[[#This Row],[KM]]+SUMIF(GPS!$D$746:$D$1048570,Tabla1[[#This Row],[MAQUINARIA]],GPS!$G$746:$G$1048570)</f>
        <v>32559</v>
      </c>
      <c r="L9" s="39">
        <v>46419</v>
      </c>
      <c r="M9" s="36">
        <f t="shared" ca="1" si="0"/>
        <v>208</v>
      </c>
      <c r="N9" s="59">
        <f>Tabla1[[#This Row],[REVISION TECNICA]]</f>
        <v>46419</v>
      </c>
      <c r="O9" s="32">
        <f ca="1">IF(Tabla1[[#This Row],[GASES Y CONTAMINANTES]]="-","-",Tabla1[[#This Row],[GASES Y CONTAMINANTES]]-TODAY())</f>
        <v>208</v>
      </c>
      <c r="P9" s="37">
        <v>40000</v>
      </c>
      <c r="Q9" s="33">
        <f>IF(Tabla1[[#This Row],[PROXIMO Cambio de aceite]]="","-",Tabla1[[#This Row],[PROXIMO Cambio de aceite]]-Tabla1[[#This Row],[KM ACTUAL]])</f>
        <v>7441</v>
      </c>
      <c r="R9" s="30" t="s">
        <v>67</v>
      </c>
      <c r="S9" s="38">
        <f>SUMIF(GPS!D:D,Tabla1[[#This Row],[MAQUINARIA]],GPS!M:M)</f>
        <v>214525.28888888887</v>
      </c>
      <c r="T9" s="38">
        <f>SUMIF('GASTOS Y MANTENCIONES'!B:B,C9,'GASTOS Y MANTENCIONES'!C:C)</f>
        <v>120599</v>
      </c>
      <c r="U9" s="38">
        <f>Tabla1[[#This Row],[GASTO EN COMBUSTIBLES]]+Tabla1[[#This Row],[$ EN MANTENCIÓN]]</f>
        <v>335124.2888888889</v>
      </c>
      <c r="V9" s="44">
        <f>IFERROR((Tabla1[[#This Row],[GASTO EN COMBUSTIBLES]]+Tabla1[[#This Row],[$ EN MANTENCIÓN]])/Tabla1[[#This Row],[KM DE comienzo]],"-")</f>
        <v>178.01992493473549</v>
      </c>
      <c r="W9" s="74">
        <f t="shared" ca="1" si="1"/>
        <v>5</v>
      </c>
      <c r="X9" s="38" t="str">
        <f t="shared" ca="1" si="2"/>
        <v>OK</v>
      </c>
      <c r="Y9" s="83">
        <f ca="1">Tabla1[[#This Row],[PRIORIDAD]]+(ROW()/1000)</f>
        <v>5.0090000000000003</v>
      </c>
    </row>
    <row r="10" spans="1:26" ht="12.95" customHeight="1" x14ac:dyDescent="0.25">
      <c r="A10" s="45" t="s">
        <v>107</v>
      </c>
      <c r="B10" s="32" t="s">
        <v>120</v>
      </c>
      <c r="C10" s="30" t="str">
        <f>_xlfn.XLOOKUP(Tabla1[[#This Row],[MAQUINARIA]],Hoja3!A:A,Hoja3!C:C)</f>
        <v>VG CERRILLOS</v>
      </c>
      <c r="D10" s="30" t="s">
        <v>137</v>
      </c>
      <c r="E10" s="31" t="s">
        <v>115</v>
      </c>
      <c r="F10" s="30" t="s">
        <v>116</v>
      </c>
      <c r="G10" s="32">
        <v>2018</v>
      </c>
      <c r="H10" s="32" t="s">
        <v>138</v>
      </c>
      <c r="I10" s="33">
        <f>SUMIF(GPS!$D10:$D$1048576,Tabla1[[#This Row],[MAQUINARIA]],GPS!$G$2:$G$1048576)</f>
        <v>1407.9899999999998</v>
      </c>
      <c r="J10" s="34">
        <v>106659</v>
      </c>
      <c r="K10" s="35">
        <f>Tabla1[[#This Row],[KM]]+SUMIF(GPS!$D$746:$D$1048570,Tabla1[[#This Row],[MAQUINARIA]],GPS!$G$746:$G$1048570)</f>
        <v>106758.78</v>
      </c>
      <c r="L10" s="39">
        <v>46327</v>
      </c>
      <c r="M10" s="36">
        <f t="shared" ca="1" si="0"/>
        <v>116</v>
      </c>
      <c r="N10" s="59">
        <v>46327</v>
      </c>
      <c r="O10" s="32">
        <f ca="1">IF(Tabla1[[#This Row],[GASES Y CONTAMINANTES]]="-","-",Tabla1[[#This Row],[GASES Y CONTAMINANTES]]-TODAY())</f>
        <v>116</v>
      </c>
      <c r="P10" s="37">
        <v>108000</v>
      </c>
      <c r="Q10" s="33">
        <f>IF(Tabla1[[#This Row],[PROXIMO Cambio de aceite]]="","-",Tabla1[[#This Row],[PROXIMO Cambio de aceite]]-Tabla1[[#This Row],[KM ACTUAL]])</f>
        <v>1241.2200000000012</v>
      </c>
      <c r="R10" s="30" t="s">
        <v>67</v>
      </c>
      <c r="S10" s="38">
        <f>SUMIF(GPS!D:D,Tabla1[[#This Row],[MAQUINARIA]],GPS!M:M)</f>
        <v>206031.63636363635</v>
      </c>
      <c r="T10" s="38">
        <f>SUMIF('GASTOS Y MANTENCIONES'!B:B,C10,'GASTOS Y MANTENCIONES'!C:C)</f>
        <v>70800</v>
      </c>
      <c r="U10" s="38">
        <f>Tabla1[[#This Row],[GASTO EN COMBUSTIBLES]]+Tabla1[[#This Row],[$ EN MANTENCIÓN]]</f>
        <v>276831.63636363635</v>
      </c>
      <c r="V10" s="44">
        <f>IFERROR((Tabla1[[#This Row],[GASTO EN COMBUSTIBLES]]+Tabla1[[#This Row],[$ EN MANTENCIÓN]])/Tabla1[[#This Row],[KM DE comienzo]],"-")</f>
        <v>196.61477451092438</v>
      </c>
      <c r="W10" s="74">
        <f t="shared" ca="1" si="1"/>
        <v>5</v>
      </c>
      <c r="X10" s="38" t="str">
        <f t="shared" ca="1" si="2"/>
        <v>OK</v>
      </c>
      <c r="Y10" s="83">
        <f ca="1">Tabla1[[#This Row],[PRIORIDAD]]+(ROW()/1000)</f>
        <v>5.01</v>
      </c>
    </row>
    <row r="11" spans="1:26" ht="12.95" customHeight="1" x14ac:dyDescent="0.25">
      <c r="A11" s="45" t="s">
        <v>22</v>
      </c>
      <c r="B11" s="32" t="s">
        <v>125</v>
      </c>
      <c r="C11" s="30" t="str">
        <f>_xlfn.XLOOKUP(Tabla1[[#This Row],[MAQUINARIA]],Hoja3!A:A,Hoja3!C:C)</f>
        <v>T13</v>
      </c>
      <c r="D11" s="30" t="s">
        <v>19</v>
      </c>
      <c r="E11" s="31" t="s">
        <v>139</v>
      </c>
      <c r="F11" s="30" t="s">
        <v>140</v>
      </c>
      <c r="G11" s="32">
        <v>2023</v>
      </c>
      <c r="H11" s="32" t="s">
        <v>141</v>
      </c>
      <c r="I11" s="33">
        <f>SUMIF(GPS!$D11:$D$1048576,Tabla1[[#This Row],[MAQUINARIA]],GPS!$G$2:$G$1048576)</f>
        <v>1304.8400000000001</v>
      </c>
      <c r="J11" s="34"/>
      <c r="K11" s="35">
        <f>Tabla1[[#This Row],[KM]]+SUMIF(GPS!$D$746:$D$1048570,Tabla1[[#This Row],[MAQUINARIA]],GPS!$G$746:$G$1048570)</f>
        <v>0</v>
      </c>
      <c r="L11" s="39">
        <v>46388</v>
      </c>
      <c r="M11" s="36">
        <f t="shared" ca="1" si="0"/>
        <v>177</v>
      </c>
      <c r="N11" s="59">
        <f>Tabla1[[#This Row],[REVISION TECNICA]]</f>
        <v>46388</v>
      </c>
      <c r="O11" s="32">
        <f ca="1">IF(Tabla1[[#This Row],[GASES Y CONTAMINANTES]]="-","-",Tabla1[[#This Row],[GASES Y CONTAMINANTES]]-TODAY())</f>
        <v>177</v>
      </c>
      <c r="P11" s="37"/>
      <c r="Q11" s="33" t="str">
        <f>IF(Tabla1[[#This Row],[PROXIMO Cambio de aceite]]="","-",Tabla1[[#This Row],[PROXIMO Cambio de aceite]]-Tabla1[[#This Row],[KM ACTUAL]])</f>
        <v>-</v>
      </c>
      <c r="R11" s="30" t="s">
        <v>67</v>
      </c>
      <c r="S11" s="38">
        <f>SUMIF(GPS!D:D,Tabla1[[#This Row],[MAQUINARIA]],GPS!M:M)</f>
        <v>148685.80166666658</v>
      </c>
      <c r="T11" s="38">
        <f>SUMIF('GASTOS Y MANTENCIONES'!B:B,C11,'GASTOS Y MANTENCIONES'!C:C)</f>
        <v>37800</v>
      </c>
      <c r="U11" s="38">
        <f>Tabla1[[#This Row],[GASTO EN COMBUSTIBLES]]+Tabla1[[#This Row],[$ EN MANTENCIÓN]]</f>
        <v>186485.80166666658</v>
      </c>
      <c r="V11" s="44">
        <f>IFERROR((Tabla1[[#This Row],[GASTO EN COMBUSTIBLES]]+Tabla1[[#This Row],[$ EN MANTENCIÓN]])/Tabla1[[#This Row],[KM DE comienzo]],"-")</f>
        <v>142.91852002288906</v>
      </c>
      <c r="W11" s="74">
        <f t="shared" ca="1" si="1"/>
        <v>6</v>
      </c>
      <c r="X11" s="38" t="str">
        <f t="shared" ca="1" si="2"/>
        <v>OK</v>
      </c>
      <c r="Y11" s="83">
        <f ca="1">Tabla1[[#This Row],[PRIORIDAD]]+(ROW()/1000)</f>
        <v>6.0110000000000001</v>
      </c>
    </row>
    <row r="12" spans="1:26" ht="12.95" customHeight="1" x14ac:dyDescent="0.25">
      <c r="A12" s="45" t="s">
        <v>22</v>
      </c>
      <c r="B12" s="32" t="s">
        <v>108</v>
      </c>
      <c r="C12" s="30" t="str">
        <f>_xlfn.XLOOKUP(Tabla1[[#This Row],[MAQUINARIA]],Hoja3!A:A,Hoja3!C:C)</f>
        <v>T14</v>
      </c>
      <c r="D12" s="30" t="s">
        <v>21</v>
      </c>
      <c r="E12" s="31" t="s">
        <v>142</v>
      </c>
      <c r="F12" s="30" t="s">
        <v>143</v>
      </c>
      <c r="G12" s="32">
        <v>2025</v>
      </c>
      <c r="H12" s="32" t="s">
        <v>144</v>
      </c>
      <c r="I12" s="33">
        <f>SUMIF(GPS!$D12:$D$1048576,Tabla1[[#This Row],[MAQUINARIA]],GPS!$G$2:$G$1048576)</f>
        <v>706.3</v>
      </c>
      <c r="J12" s="34"/>
      <c r="K12" s="35">
        <f>Tabla1[[#This Row],[KM]]+SUMIF(GPS!$D$746:$D$1048570,Tabla1[[#This Row],[MAQUINARIA]],GPS!$G$746:$G$1048570)</f>
        <v>0</v>
      </c>
      <c r="L12" s="39">
        <v>47119</v>
      </c>
      <c r="M12" s="36">
        <f t="shared" ca="1" si="0"/>
        <v>908</v>
      </c>
      <c r="N12" s="59">
        <f>Tabla1[[#This Row],[REVISION TECNICA]]</f>
        <v>47119</v>
      </c>
      <c r="O12" s="32">
        <f ca="1">IF(Tabla1[[#This Row],[GASES Y CONTAMINANTES]]="-","-",Tabla1[[#This Row],[GASES Y CONTAMINANTES]]-TODAY())</f>
        <v>908</v>
      </c>
      <c r="P12" s="37"/>
      <c r="Q12" s="33" t="str">
        <f>IF(Tabla1[[#This Row],[PROXIMO Cambio de aceite]]="","-",Tabla1[[#This Row],[PROXIMO Cambio de aceite]]-Tabla1[[#This Row],[KM ACTUAL]])</f>
        <v>-</v>
      </c>
      <c r="R12" s="30" t="s">
        <v>67</v>
      </c>
      <c r="S12" s="38">
        <f>SUMIF(GPS!D:D,Tabla1[[#This Row],[MAQUINARIA]],GPS!M:M)</f>
        <v>134734.185</v>
      </c>
      <c r="T12" s="38">
        <f>SUMIF('GASTOS Y MANTENCIONES'!B:B,C12,'GASTOS Y MANTENCIONES'!C:C)</f>
        <v>37800</v>
      </c>
      <c r="U12" s="38">
        <f>Tabla1[[#This Row],[GASTO EN COMBUSTIBLES]]+Tabla1[[#This Row],[$ EN MANTENCIÓN]]</f>
        <v>172534.185</v>
      </c>
      <c r="V12" s="44">
        <f>IFERROR((Tabla1[[#This Row],[GASTO EN COMBUSTIBLES]]+Tabla1[[#This Row],[$ EN MANTENCIÓN]])/Tabla1[[#This Row],[KM DE comienzo]],"-")</f>
        <v>244.27889706923406</v>
      </c>
      <c r="W12" s="74">
        <f t="shared" ca="1" si="1"/>
        <v>6</v>
      </c>
      <c r="X12" s="38" t="str">
        <f t="shared" ca="1" si="2"/>
        <v>OK</v>
      </c>
      <c r="Y12" s="83">
        <f ca="1">Tabla1[[#This Row],[PRIORIDAD]]+(ROW()/1000)</f>
        <v>6.0119999999999996</v>
      </c>
    </row>
    <row r="13" spans="1:26" ht="12.95" customHeight="1" x14ac:dyDescent="0.25">
      <c r="A13" s="45" t="s">
        <v>22</v>
      </c>
      <c r="B13" s="32" t="s">
        <v>108</v>
      </c>
      <c r="C13" s="30" t="str">
        <f>_xlfn.XLOOKUP(Tabla1[[#This Row],[MAQUINARIA]],Hoja3!A:A,Hoja3!C:C)</f>
        <v>T4</v>
      </c>
      <c r="D13" s="30" t="s">
        <v>23</v>
      </c>
      <c r="E13" s="31" t="s">
        <v>145</v>
      </c>
      <c r="F13" s="30" t="s">
        <v>146</v>
      </c>
      <c r="G13" s="32">
        <v>2011</v>
      </c>
      <c r="H13" s="32" t="s">
        <v>147</v>
      </c>
      <c r="I13" s="33">
        <f>SUMIF(GPS!$D13:$D$1048576,Tabla1[[#This Row],[MAQUINARIA]],GPS!$G$2:$G$1048576)</f>
        <v>1158.6399999999999</v>
      </c>
      <c r="J13" s="34"/>
      <c r="K13" s="35">
        <f>Tabla1[[#This Row],[KM]]+SUMIF(GPS!$D$746:$D$1048570,Tabla1[[#This Row],[MAQUINARIA]],GPS!$G$746:$G$1048570)</f>
        <v>0</v>
      </c>
      <c r="L13" s="39">
        <v>46997</v>
      </c>
      <c r="M13" s="36">
        <f t="shared" ca="1" si="0"/>
        <v>786</v>
      </c>
      <c r="N13" s="59">
        <f>Tabla1[[#This Row],[REVISION TECNICA]]</f>
        <v>46997</v>
      </c>
      <c r="O13" s="32">
        <f ca="1">IF(Tabla1[[#This Row],[GASES Y CONTAMINANTES]]="-","-",Tabla1[[#This Row],[GASES Y CONTAMINANTES]]-TODAY())</f>
        <v>786</v>
      </c>
      <c r="P13" s="37"/>
      <c r="Q13" s="33" t="str">
        <f>IF(Tabla1[[#This Row],[PROXIMO Cambio de aceite]]="","-",Tabla1[[#This Row],[PROXIMO Cambio de aceite]]-Tabla1[[#This Row],[KM ACTUAL]])</f>
        <v>-</v>
      </c>
      <c r="R13" s="30" t="s">
        <v>38</v>
      </c>
      <c r="S13" s="38">
        <f>SUMIF(GPS!D:D,Tabla1[[#This Row],[MAQUINARIA]],GPS!M:M)</f>
        <v>125408.41999999995</v>
      </c>
      <c r="T13" s="38">
        <f>SUMIF('GASTOS Y MANTENCIONES'!B:B,C13,'GASTOS Y MANTENCIONES'!C:C)</f>
        <v>37800</v>
      </c>
      <c r="U13" s="38">
        <f>Tabla1[[#This Row],[GASTO EN COMBUSTIBLES]]+Tabla1[[#This Row],[$ EN MANTENCIÓN]]</f>
        <v>163208.41999999995</v>
      </c>
      <c r="V13" s="44">
        <f>IFERROR((Tabla1[[#This Row],[GASTO EN COMBUSTIBLES]]+Tabla1[[#This Row],[$ EN MANTENCIÓN]])/Tabla1[[#This Row],[KM DE comienzo]],"-")</f>
        <v>140.8620624180073</v>
      </c>
      <c r="W13" s="74">
        <f t="shared" si="1"/>
        <v>2</v>
      </c>
      <c r="X13" s="38" t="str">
        <f t="shared" si="2"/>
        <v>En mantención</v>
      </c>
      <c r="Y13" s="83">
        <f>Tabla1[[#This Row],[PRIORIDAD]]+(ROW()/1000)</f>
        <v>2.0129999999999999</v>
      </c>
    </row>
    <row r="14" spans="1:26" ht="12.95" customHeight="1" x14ac:dyDescent="0.25">
      <c r="A14" s="45" t="s">
        <v>22</v>
      </c>
      <c r="B14" s="32" t="s">
        <v>108</v>
      </c>
      <c r="C14" s="30" t="str">
        <f>_xlfn.XLOOKUP(Tabla1[[#This Row],[MAQUINARIA]],Hoja3!A:A,Hoja3!C:C)</f>
        <v>T7</v>
      </c>
      <c r="D14" s="30" t="s">
        <v>26</v>
      </c>
      <c r="E14" s="31" t="s">
        <v>148</v>
      </c>
      <c r="F14" s="30" t="s">
        <v>149</v>
      </c>
      <c r="G14" s="32">
        <v>2017</v>
      </c>
      <c r="H14" s="32" t="s">
        <v>150</v>
      </c>
      <c r="I14" s="33">
        <f>SUMIF(GPS!$D14:$D$1048576,Tabla1[[#This Row],[MAQUINARIA]],GPS!$G$2:$G$1048576)</f>
        <v>1578.2999999999995</v>
      </c>
      <c r="J14" s="34"/>
      <c r="K14" s="35">
        <f>Tabla1[[#This Row],[KM]]+SUMIF(GPS!$D$746:$D$1048570,Tabla1[[#This Row],[MAQUINARIA]],GPS!$G$746:$G$1048570)</f>
        <v>0</v>
      </c>
      <c r="L14" s="39">
        <v>46296</v>
      </c>
      <c r="M14" s="36">
        <f t="shared" ca="1" si="0"/>
        <v>85</v>
      </c>
      <c r="N14" s="59">
        <f>Tabla1[[#This Row],[REVISION TECNICA]]</f>
        <v>46296</v>
      </c>
      <c r="O14" s="32">
        <f ca="1">IF(Tabla1[[#This Row],[GASES Y CONTAMINANTES]]="-","-",Tabla1[[#This Row],[GASES Y CONTAMINANTES]]-TODAY())</f>
        <v>85</v>
      </c>
      <c r="P14" s="37"/>
      <c r="Q14" s="33" t="str">
        <f>IF(Tabla1[[#This Row],[PROXIMO Cambio de aceite]]="","-",Tabla1[[#This Row],[PROXIMO Cambio de aceite]]-Tabla1[[#This Row],[KM ACTUAL]])</f>
        <v>-</v>
      </c>
      <c r="R14" s="30" t="s">
        <v>67</v>
      </c>
      <c r="S14" s="38">
        <f>SUMIF(GPS!D:D,Tabla1[[#This Row],[MAQUINARIA]],GPS!M:M)</f>
        <v>82748.900000000009</v>
      </c>
      <c r="T14" s="38">
        <f>SUMIF('GASTOS Y MANTENCIONES'!B:B,C14,'GASTOS Y MANTENCIONES'!C:C)</f>
        <v>37800</v>
      </c>
      <c r="U14" s="38">
        <f>Tabla1[[#This Row],[GASTO EN COMBUSTIBLES]]+Tabla1[[#This Row],[$ EN MANTENCIÓN]]</f>
        <v>120548.90000000001</v>
      </c>
      <c r="V14" s="44">
        <f>IFERROR((Tabla1[[#This Row],[GASTO EN COMBUSTIBLES]]+Tabla1[[#This Row],[$ EN MANTENCIÓN]])/Tabla1[[#This Row],[KM DE comienzo]],"-")</f>
        <v>76.378952037001866</v>
      </c>
      <c r="W14" s="74">
        <f t="shared" ca="1" si="1"/>
        <v>6</v>
      </c>
      <c r="X14" s="38" t="str">
        <f t="shared" ca="1" si="2"/>
        <v>OK</v>
      </c>
      <c r="Y14" s="83">
        <f ca="1">Tabla1[[#This Row],[PRIORIDAD]]+(ROW()/1000)</f>
        <v>6.0140000000000002</v>
      </c>
    </row>
    <row r="15" spans="1:26" ht="12.95" customHeight="1" x14ac:dyDescent="0.25">
      <c r="A15" s="45" t="s">
        <v>22</v>
      </c>
      <c r="B15" s="32" t="s">
        <v>108</v>
      </c>
      <c r="C15" s="30" t="str">
        <f>_xlfn.XLOOKUP(Tabla1[[#This Row],[MAQUINARIA]],Hoja3!A:A,Hoja3!C:C)</f>
        <v>T5</v>
      </c>
      <c r="D15" s="30" t="s">
        <v>24</v>
      </c>
      <c r="E15" s="31" t="s">
        <v>145</v>
      </c>
      <c r="F15" s="30" t="s">
        <v>151</v>
      </c>
      <c r="G15" s="32">
        <v>2011</v>
      </c>
      <c r="H15" s="32" t="s">
        <v>152</v>
      </c>
      <c r="I15" s="33">
        <f>SUMIF(GPS!$D15:$D$1048576,Tabla1[[#This Row],[MAQUINARIA]],GPS!$G$2:$G$1048576)</f>
        <v>989.03000000000009</v>
      </c>
      <c r="J15" s="34"/>
      <c r="K15" s="35">
        <f>Tabla1[[#This Row],[KM]]+SUMIF(GPS!$D$746:$D$1048570,Tabla1[[#This Row],[MAQUINARIA]],GPS!$G$746:$G$1048570)</f>
        <v>0</v>
      </c>
      <c r="L15" s="39">
        <v>46997</v>
      </c>
      <c r="M15" s="36">
        <f t="shared" ca="1" si="0"/>
        <v>786</v>
      </c>
      <c r="N15" s="59">
        <f>Tabla1[[#This Row],[REVISION TECNICA]]</f>
        <v>46997</v>
      </c>
      <c r="O15" s="32">
        <f ca="1">IF(Tabla1[[#This Row],[GASES Y CONTAMINANTES]]="-","-",Tabla1[[#This Row],[GASES Y CONTAMINANTES]]-TODAY())</f>
        <v>786</v>
      </c>
      <c r="P15" s="37"/>
      <c r="Q15" s="33" t="str">
        <f>IF(Tabla1[[#This Row],[PROXIMO Cambio de aceite]]="","-",Tabla1[[#This Row],[PROXIMO Cambio de aceite]]-Tabla1[[#This Row],[KM ACTUAL]])</f>
        <v>-</v>
      </c>
      <c r="R15" s="30" t="s">
        <v>67</v>
      </c>
      <c r="S15" s="38">
        <f>SUMIF(GPS!D:D,Tabla1[[#This Row],[MAQUINARIA]],GPS!M:M)</f>
        <v>76049.321666666656</v>
      </c>
      <c r="T15" s="38">
        <f>SUMIF('GASTOS Y MANTENCIONES'!B:B,C15,'GASTOS Y MANTENCIONES'!C:C)</f>
        <v>37800</v>
      </c>
      <c r="U15" s="38">
        <f>Tabla1[[#This Row],[GASTO EN COMBUSTIBLES]]+Tabla1[[#This Row],[$ EN MANTENCIÓN]]</f>
        <v>113849.32166666666</v>
      </c>
      <c r="V15" s="44">
        <f>IFERROR((Tabla1[[#This Row],[GASTO EN COMBUSTIBLES]]+Tabla1[[#This Row],[$ EN MANTENCIÓN]])/Tabla1[[#This Row],[KM DE comienzo]],"-")</f>
        <v>115.11210141923566</v>
      </c>
      <c r="W15" s="74">
        <f t="shared" ca="1" si="1"/>
        <v>6</v>
      </c>
      <c r="X15" s="38" t="str">
        <f t="shared" ca="1" si="2"/>
        <v>OK</v>
      </c>
      <c r="Y15" s="83">
        <f ca="1">Tabla1[[#This Row],[PRIORIDAD]]+(ROW()/1000)</f>
        <v>6.0149999999999997</v>
      </c>
    </row>
    <row r="16" spans="1:26" ht="12.95" customHeight="1" x14ac:dyDescent="0.25">
      <c r="A16" s="45" t="s">
        <v>22</v>
      </c>
      <c r="B16" s="32" t="s">
        <v>120</v>
      </c>
      <c r="C16" s="30" t="str">
        <f>_xlfn.XLOOKUP(Tabla1[[#This Row],[MAQUINARIA]],Hoja3!A:A,Hoja3!C:C)</f>
        <v>T12</v>
      </c>
      <c r="D16" s="30" t="s">
        <v>17</v>
      </c>
      <c r="E16" s="31" t="s">
        <v>139</v>
      </c>
      <c r="F16" s="30" t="s">
        <v>140</v>
      </c>
      <c r="G16" s="32">
        <v>2021</v>
      </c>
      <c r="H16" s="32" t="s">
        <v>153</v>
      </c>
      <c r="I16" s="33">
        <f>SUMIF(GPS!$D16:$D$1048576,Tabla1[[#This Row],[MAQUINARIA]],GPS!$G$2:$G$1048576)</f>
        <v>931.65</v>
      </c>
      <c r="J16" s="34"/>
      <c r="K16" s="35">
        <f>Tabla1[[#This Row],[KM]]+SUMIF(GPS!$D$746:$D$1048570,Tabla1[[#This Row],[MAQUINARIA]],GPS!$G$746:$G$1048570)</f>
        <v>0</v>
      </c>
      <c r="L16" s="39">
        <v>45901</v>
      </c>
      <c r="M16" s="36">
        <f t="shared" ca="1" si="0"/>
        <v>-310</v>
      </c>
      <c r="N16" s="59">
        <f>Tabla1[[#This Row],[REVISION TECNICA]]</f>
        <v>45901</v>
      </c>
      <c r="O16" s="32">
        <f ca="1">IF(Tabla1[[#This Row],[GASES Y CONTAMINANTES]]="-","-",Tabla1[[#This Row],[GASES Y CONTAMINANTES]]-TODAY())</f>
        <v>-310</v>
      </c>
      <c r="P16" s="37"/>
      <c r="Q16" s="33" t="str">
        <f>IF(Tabla1[[#This Row],[PROXIMO Cambio de aceite]]="","-",Tabla1[[#This Row],[PROXIMO Cambio de aceite]]-Tabla1[[#This Row],[KM ACTUAL]])</f>
        <v>-</v>
      </c>
      <c r="R16" s="30" t="s">
        <v>67</v>
      </c>
      <c r="S16" s="38">
        <f>SUMIF(GPS!D:D,Tabla1[[#This Row],[MAQUINARIA]],GPS!M:M)</f>
        <v>74638.146666666638</v>
      </c>
      <c r="T16" s="38">
        <f>SUMIF('GASTOS Y MANTENCIONES'!B:B,C16,'GASTOS Y MANTENCIONES'!C:C)</f>
        <v>37800</v>
      </c>
      <c r="U16" s="38">
        <f>Tabla1[[#This Row],[GASTO EN COMBUSTIBLES]]+Tabla1[[#This Row],[$ EN MANTENCIÓN]]</f>
        <v>112438.14666666664</v>
      </c>
      <c r="V16" s="44">
        <f>IFERROR((Tabla1[[#This Row],[GASTO EN COMBUSTIBLES]]+Tabla1[[#This Row],[$ EN MANTENCIÓN]])/Tabla1[[#This Row],[KM DE comienzo]],"-")</f>
        <v>120.6871106817653</v>
      </c>
      <c r="W16" s="74">
        <f t="shared" ca="1" si="1"/>
        <v>3</v>
      </c>
      <c r="X16" s="38" t="str">
        <f t="shared" ca="1" si="2"/>
        <v>RT vencida</v>
      </c>
      <c r="Y16" s="83">
        <f ca="1">Tabla1[[#This Row],[PRIORIDAD]]+(ROW()/1000)</f>
        <v>3.016</v>
      </c>
    </row>
    <row r="17" spans="1:25" ht="12.95" customHeight="1" x14ac:dyDescent="0.25">
      <c r="A17" s="45" t="s">
        <v>22</v>
      </c>
      <c r="B17" s="32" t="s">
        <v>108</v>
      </c>
      <c r="C17" s="30" t="str">
        <f>_xlfn.XLOOKUP(Tabla1[[#This Row],[MAQUINARIA]],Hoja3!A:A,Hoja3!C:C)</f>
        <v>T6</v>
      </c>
      <c r="D17" s="30" t="s">
        <v>25</v>
      </c>
      <c r="E17" s="31" t="s">
        <v>145</v>
      </c>
      <c r="F17" s="30" t="s">
        <v>154</v>
      </c>
      <c r="G17" s="32">
        <v>2013</v>
      </c>
      <c r="H17" s="32" t="s">
        <v>155</v>
      </c>
      <c r="I17" s="33">
        <f>SUMIF(GPS!$D17:$D$1048576,Tabla1[[#This Row],[MAQUINARIA]],GPS!$G$2:$G$1048576)</f>
        <v>897.88000000000011</v>
      </c>
      <c r="J17" s="34"/>
      <c r="K17" s="35">
        <f>Tabla1[[#This Row],[KM]]+SUMIF(GPS!$D$746:$D$1048570,Tabla1[[#This Row],[MAQUINARIA]],GPS!$G$746:$G$1048570)</f>
        <v>0</v>
      </c>
      <c r="L17" s="39">
        <v>46997</v>
      </c>
      <c r="M17" s="36">
        <f t="shared" ca="1" si="0"/>
        <v>786</v>
      </c>
      <c r="N17" s="59">
        <f>Tabla1[[#This Row],[REVISION TECNICA]]</f>
        <v>46997</v>
      </c>
      <c r="O17" s="32">
        <f ca="1">IF(Tabla1[[#This Row],[GASES Y CONTAMINANTES]]="-","-",Tabla1[[#This Row],[GASES Y CONTAMINANTES]]-TODAY())</f>
        <v>786</v>
      </c>
      <c r="P17" s="37"/>
      <c r="Q17" s="33" t="str">
        <f>IF(Tabla1[[#This Row],[PROXIMO Cambio de aceite]]="","-",Tabla1[[#This Row],[PROXIMO Cambio de aceite]]-Tabla1[[#This Row],[KM ACTUAL]])</f>
        <v>-</v>
      </c>
      <c r="R17" s="30" t="s">
        <v>67</v>
      </c>
      <c r="S17" s="38">
        <f>SUMIF(GPS!D:D,Tabla1[[#This Row],[MAQUINARIA]],GPS!M:M)</f>
        <v>74143.734999999986</v>
      </c>
      <c r="T17" s="38">
        <f>SUMIF('GASTOS Y MANTENCIONES'!B:B,C17,'GASTOS Y MANTENCIONES'!C:C)</f>
        <v>37800</v>
      </c>
      <c r="U17" s="38">
        <f>Tabla1[[#This Row],[GASTO EN COMBUSTIBLES]]+Tabla1[[#This Row],[$ EN MANTENCIÓN]]</f>
        <v>111943.73499999999</v>
      </c>
      <c r="V17" s="44">
        <f>IFERROR((Tabla1[[#This Row],[GASTO EN COMBUSTIBLES]]+Tabla1[[#This Row],[$ EN MANTENCIÓN]])/Tabla1[[#This Row],[KM DE comienzo]],"-")</f>
        <v>124.67560809907779</v>
      </c>
      <c r="W17" s="74">
        <f t="shared" ca="1" si="1"/>
        <v>6</v>
      </c>
      <c r="X17" s="38" t="str">
        <f t="shared" ca="1" si="2"/>
        <v>OK</v>
      </c>
      <c r="Y17" s="83">
        <f ca="1">Tabla1[[#This Row],[PRIORIDAD]]+(ROW()/1000)</f>
        <v>6.0170000000000003</v>
      </c>
    </row>
    <row r="18" spans="1:25" ht="12.95" customHeight="1" x14ac:dyDescent="0.25">
      <c r="A18" s="45" t="s">
        <v>22</v>
      </c>
      <c r="B18" s="32" t="s">
        <v>125</v>
      </c>
      <c r="C18" s="30" t="str">
        <f>_xlfn.XLOOKUP(Tabla1[[#This Row],[MAQUINARIA]],Hoja3!A:A,Hoja3!C:C)</f>
        <v>T10</v>
      </c>
      <c r="D18" s="30" t="s">
        <v>14</v>
      </c>
      <c r="E18" s="31" t="s">
        <v>142</v>
      </c>
      <c r="F18" s="30" t="s">
        <v>156</v>
      </c>
      <c r="G18" s="32">
        <v>2020</v>
      </c>
      <c r="H18" s="32" t="s">
        <v>157</v>
      </c>
      <c r="I18" s="33">
        <f>SUMIF(GPS!$D18:$D$1048576,Tabla1[[#This Row],[MAQUINARIA]],GPS!$G$2:$G$1048576)</f>
        <v>707.54999999999984</v>
      </c>
      <c r="J18" s="34"/>
      <c r="K18" s="35">
        <f>Tabla1[[#This Row],[KM]]+SUMIF(GPS!$D$746:$D$1048570,Tabla1[[#This Row],[MAQUINARIA]],GPS!$G$746:$G$1048570)</f>
        <v>0</v>
      </c>
      <c r="L18" s="39">
        <v>46997</v>
      </c>
      <c r="M18" s="36">
        <f t="shared" ca="1" si="0"/>
        <v>786</v>
      </c>
      <c r="N18" s="59">
        <f>Tabla1[[#This Row],[REVISION TECNICA]]</f>
        <v>46997</v>
      </c>
      <c r="O18" s="32">
        <f ca="1">IF(Tabla1[[#This Row],[GASES Y CONTAMINANTES]]="-","-",Tabla1[[#This Row],[GASES Y CONTAMINANTES]]-TODAY())</f>
        <v>786</v>
      </c>
      <c r="P18" s="37"/>
      <c r="Q18" s="33" t="str">
        <f>IF(Tabla1[[#This Row],[PROXIMO Cambio de aceite]]="","-",Tabla1[[#This Row],[PROXIMO Cambio de aceite]]-Tabla1[[#This Row],[KM ACTUAL]])</f>
        <v>-</v>
      </c>
      <c r="R18" s="30" t="s">
        <v>67</v>
      </c>
      <c r="S18" s="38">
        <f>SUMIF(GPS!D:D,Tabla1[[#This Row],[MAQUINARIA]],GPS!M:M)</f>
        <v>73128.890000000014</v>
      </c>
      <c r="T18" s="38">
        <f>SUMIF('GASTOS Y MANTENCIONES'!B:B,C18,'GASTOS Y MANTENCIONES'!C:C)</f>
        <v>37800</v>
      </c>
      <c r="U18" s="38">
        <f>Tabla1[[#This Row],[GASTO EN COMBUSTIBLES]]+Tabla1[[#This Row],[$ EN MANTENCIÓN]]</f>
        <v>110928.89000000001</v>
      </c>
      <c r="V18" s="44">
        <f>IFERROR((Tabla1[[#This Row],[GASTO EN COMBUSTIBLES]]+Tabla1[[#This Row],[$ EN MANTENCIÓN]])/Tabla1[[#This Row],[KM DE comienzo]],"-")</f>
        <v>156.77887075118372</v>
      </c>
      <c r="W18" s="74">
        <f t="shared" ca="1" si="1"/>
        <v>6</v>
      </c>
      <c r="X18" s="38" t="str">
        <f t="shared" ca="1" si="2"/>
        <v>OK</v>
      </c>
      <c r="Y18" s="83">
        <f ca="1">Tabla1[[#This Row],[PRIORIDAD]]+(ROW()/1000)</f>
        <v>6.0179999999999998</v>
      </c>
    </row>
    <row r="19" spans="1:25" ht="12.95" customHeight="1" x14ac:dyDescent="0.25">
      <c r="A19" s="45" t="s">
        <v>22</v>
      </c>
      <c r="B19" s="32" t="s">
        <v>120</v>
      </c>
      <c r="C19" s="30" t="str">
        <f>_xlfn.XLOOKUP(Tabla1[[#This Row],[MAQUINARIA]],Hoja3!A:A,Hoja3!C:C)</f>
        <v>T8</v>
      </c>
      <c r="D19" s="30" t="s">
        <v>27</v>
      </c>
      <c r="E19" s="31" t="s">
        <v>148</v>
      </c>
      <c r="F19" s="30" t="s">
        <v>149</v>
      </c>
      <c r="G19" s="32">
        <v>2017</v>
      </c>
      <c r="H19" s="32" t="s">
        <v>158</v>
      </c>
      <c r="I19" s="33">
        <f>SUMIF(GPS!$D19:$D$1048576,Tabla1[[#This Row],[MAQUINARIA]],GPS!$G$2:$G$1048576)</f>
        <v>933.11</v>
      </c>
      <c r="J19" s="34"/>
      <c r="K19" s="35">
        <f>Tabla1[[#This Row],[KM]]+SUMIF(GPS!$D$746:$D$1048570,Tabla1[[#This Row],[MAQUINARIA]],GPS!$G$746:$G$1048570)</f>
        <v>0</v>
      </c>
      <c r="L19" s="39">
        <v>46296</v>
      </c>
      <c r="M19" s="36">
        <f t="shared" ca="1" si="0"/>
        <v>85</v>
      </c>
      <c r="N19" s="59">
        <f>Tabla1[[#This Row],[REVISION TECNICA]]</f>
        <v>46296</v>
      </c>
      <c r="O19" s="32">
        <f ca="1">IF(Tabla1[[#This Row],[GASES Y CONTAMINANTES]]="-","-",Tabla1[[#This Row],[GASES Y CONTAMINANTES]]-TODAY())</f>
        <v>85</v>
      </c>
      <c r="P19" s="37"/>
      <c r="Q19" s="33" t="str">
        <f>IF(Tabla1[[#This Row],[PROXIMO Cambio de aceite]]="","-",Tabla1[[#This Row],[PROXIMO Cambio de aceite]]-Tabla1[[#This Row],[KM ACTUAL]])</f>
        <v>-</v>
      </c>
      <c r="R19" s="30" t="s">
        <v>67</v>
      </c>
      <c r="S19" s="38">
        <f>SUMIF(GPS!D:D,Tabla1[[#This Row],[MAQUINARIA]],GPS!M:M)</f>
        <v>71373.428333333315</v>
      </c>
      <c r="T19" s="38">
        <f>SUMIF('GASTOS Y MANTENCIONES'!B:B,C19,'GASTOS Y MANTENCIONES'!C:C)</f>
        <v>37800</v>
      </c>
      <c r="U19" s="38">
        <f>Tabla1[[#This Row],[GASTO EN COMBUSTIBLES]]+Tabla1[[#This Row],[$ EN MANTENCIÓN]]</f>
        <v>109173.42833333332</v>
      </c>
      <c r="V19" s="44">
        <f>IFERROR((Tabla1[[#This Row],[GASTO EN COMBUSTIBLES]]+Tabla1[[#This Row],[$ EN MANTENCIÓN]])/Tabla1[[#This Row],[KM DE comienzo]],"-")</f>
        <v>116.99952667245374</v>
      </c>
      <c r="W19" s="74">
        <f t="shared" ca="1" si="1"/>
        <v>6</v>
      </c>
      <c r="X19" s="38" t="str">
        <f t="shared" ca="1" si="2"/>
        <v>OK</v>
      </c>
      <c r="Y19" s="83">
        <f ca="1">Tabla1[[#This Row],[PRIORIDAD]]+(ROW()/1000)</f>
        <v>6.0190000000000001</v>
      </c>
    </row>
    <row r="20" spans="1:25" ht="12.95" customHeight="1" x14ac:dyDescent="0.25">
      <c r="A20" s="45" t="s">
        <v>22</v>
      </c>
      <c r="B20" s="32" t="s">
        <v>120</v>
      </c>
      <c r="C20" s="30" t="str">
        <f>_xlfn.XLOOKUP(Tabla1[[#This Row],[MAQUINARIA]],Hoja3!A:A,Hoja3!C:C)</f>
        <v>T11</v>
      </c>
      <c r="D20" s="30" t="s">
        <v>15</v>
      </c>
      <c r="E20" s="31" t="s">
        <v>139</v>
      </c>
      <c r="F20" s="30" t="s">
        <v>140</v>
      </c>
      <c r="G20" s="32">
        <v>2021</v>
      </c>
      <c r="H20" s="32" t="s">
        <v>159</v>
      </c>
      <c r="I20" s="33">
        <f>SUMIF(GPS!$D20:$D$1048576,Tabla1[[#This Row],[MAQUINARIA]],GPS!$G$2:$G$1048576)</f>
        <v>898.30000000000007</v>
      </c>
      <c r="J20" s="34"/>
      <c r="K20" s="35">
        <f>Tabla1[[#This Row],[KM]]+SUMIF(GPS!$D$746:$D$1048570,Tabla1[[#This Row],[MAQUINARIA]],GPS!$G$746:$G$1048570)</f>
        <v>0</v>
      </c>
      <c r="L20" s="39">
        <v>45901</v>
      </c>
      <c r="M20" s="36">
        <f t="shared" ca="1" si="0"/>
        <v>-310</v>
      </c>
      <c r="N20" s="59">
        <f>Tabla1[[#This Row],[REVISION TECNICA]]</f>
        <v>45901</v>
      </c>
      <c r="O20" s="32">
        <f ca="1">IF(Tabla1[[#This Row],[GASES Y CONTAMINANTES]]="-","-",Tabla1[[#This Row],[GASES Y CONTAMINANTES]]-TODAY())</f>
        <v>-310</v>
      </c>
      <c r="P20" s="37"/>
      <c r="Q20" s="33" t="str">
        <f>IF(Tabla1[[#This Row],[PROXIMO Cambio de aceite]]="","-",Tabla1[[#This Row],[PROXIMO Cambio de aceite]]-Tabla1[[#This Row],[KM ACTUAL]])</f>
        <v>-</v>
      </c>
      <c r="R20" s="30" t="s">
        <v>67</v>
      </c>
      <c r="S20" s="38">
        <f>SUMIF(GPS!D:D,Tabla1[[#This Row],[MAQUINARIA]],GPS!M:M)</f>
        <v>62267.846666666657</v>
      </c>
      <c r="T20" s="38">
        <f>SUMIF('GASTOS Y MANTENCIONES'!B:B,C20,'GASTOS Y MANTENCIONES'!C:C)</f>
        <v>37800</v>
      </c>
      <c r="U20" s="38">
        <f>Tabla1[[#This Row],[GASTO EN COMBUSTIBLES]]+Tabla1[[#This Row],[$ EN MANTENCIÓN]]</f>
        <v>100067.84666666665</v>
      </c>
      <c r="V20" s="44">
        <f>IFERROR((Tabla1[[#This Row],[GASTO EN COMBUSTIBLES]]+Tabla1[[#This Row],[$ EN MANTENCIÓN]])/Tabla1[[#This Row],[KM DE comienzo]],"-")</f>
        <v>111.39691268692714</v>
      </c>
      <c r="W20" s="74">
        <f t="shared" ca="1" si="1"/>
        <v>3</v>
      </c>
      <c r="X20" s="38" t="str">
        <f t="shared" ca="1" si="2"/>
        <v>RT vencida</v>
      </c>
      <c r="Y20" s="83">
        <f ca="1">Tabla1[[#This Row],[PRIORIDAD]]+(ROW()/1000)</f>
        <v>3.02</v>
      </c>
    </row>
    <row r="21" spans="1:25" ht="12.95" customHeight="1" x14ac:dyDescent="0.25">
      <c r="A21" s="45" t="s">
        <v>22</v>
      </c>
      <c r="B21" s="32" t="s">
        <v>120</v>
      </c>
      <c r="C21" s="30" t="str">
        <f>_xlfn.XLOOKUP(Tabla1[[#This Row],[MAQUINARIA]],Hoja3!A:A,Hoja3!C:C)</f>
        <v>T9</v>
      </c>
      <c r="D21" s="30" t="s">
        <v>28</v>
      </c>
      <c r="E21" s="31" t="s">
        <v>148</v>
      </c>
      <c r="F21" s="30" t="s">
        <v>160</v>
      </c>
      <c r="G21" s="32">
        <v>2018</v>
      </c>
      <c r="H21" s="32" t="s">
        <v>161</v>
      </c>
      <c r="I21" s="33">
        <f>SUMIF(GPS!$D21:$D$1048576,Tabla1[[#This Row],[MAQUINARIA]],GPS!$G$2:$G$1048576)</f>
        <v>605.69000000000005</v>
      </c>
      <c r="J21" s="34"/>
      <c r="K21" s="35">
        <f>Tabla1[[#This Row],[KM]]+SUMIF(GPS!$D$746:$D$1048570,Tabla1[[#This Row],[MAQUINARIA]],GPS!$G$746:$G$1048570)</f>
        <v>0</v>
      </c>
      <c r="L21" s="39">
        <v>46296</v>
      </c>
      <c r="M21" s="36">
        <f t="shared" ca="1" si="0"/>
        <v>85</v>
      </c>
      <c r="N21" s="59">
        <f>Tabla1[[#This Row],[REVISION TECNICA]]</f>
        <v>46296</v>
      </c>
      <c r="O21" s="32">
        <f ca="1">IF(Tabla1[[#This Row],[GASES Y CONTAMINANTES]]="-","-",Tabla1[[#This Row],[GASES Y CONTAMINANTES]]-TODAY())</f>
        <v>85</v>
      </c>
      <c r="P21" s="37"/>
      <c r="Q21" s="33" t="str">
        <f>IF(Tabla1[[#This Row],[PROXIMO Cambio de aceite]]="","-",Tabla1[[#This Row],[PROXIMO Cambio de aceite]]-Tabla1[[#This Row],[KM ACTUAL]])</f>
        <v>-</v>
      </c>
      <c r="R21" s="30" t="s">
        <v>67</v>
      </c>
      <c r="S21" s="38">
        <f>SUMIF(GPS!D:D,Tabla1[[#This Row],[MAQUINARIA]],GPS!M:M)</f>
        <v>29370.454999999998</v>
      </c>
      <c r="T21" s="38">
        <f>SUMIF('GASTOS Y MANTENCIONES'!B:B,C21,'GASTOS Y MANTENCIONES'!C:C)</f>
        <v>37800</v>
      </c>
      <c r="U21" s="38">
        <f>Tabla1[[#This Row],[GASTO EN COMBUSTIBLES]]+Tabla1[[#This Row],[$ EN MANTENCIÓN]]</f>
        <v>67170.455000000002</v>
      </c>
      <c r="V21" s="44">
        <f>IFERROR((Tabla1[[#This Row],[GASTO EN COMBUSTIBLES]]+Tabla1[[#This Row],[$ EN MANTENCIÓN]])/Tabla1[[#This Row],[KM DE comienzo]],"-")</f>
        <v>110.89906552857072</v>
      </c>
      <c r="W21" s="74">
        <f t="shared" ca="1" si="1"/>
        <v>6</v>
      </c>
      <c r="X21" s="38" t="str">
        <f t="shared" ca="1" si="2"/>
        <v>OK</v>
      </c>
      <c r="Y21" s="83">
        <f ca="1">Tabla1[[#This Row],[PRIORIDAD]]+(ROW()/1000)</f>
        <v>6.0209999999999999</v>
      </c>
    </row>
    <row r="22" spans="1:25" x14ac:dyDescent="0.25">
      <c r="A22" s="46" t="s">
        <v>107</v>
      </c>
      <c r="B22" s="47" t="s">
        <v>108</v>
      </c>
      <c r="C22" s="48" t="str">
        <f>_xlfn.XLOOKUP(Tabla1[[#This Row],[MAQUINARIA]],Hoja3!A:A,Hoja3!C:C)</f>
        <v>SSANYONG</v>
      </c>
      <c r="D22" s="48" t="s">
        <v>162</v>
      </c>
      <c r="E22" s="49" t="s">
        <v>163</v>
      </c>
      <c r="F22" s="48" t="s">
        <v>164</v>
      </c>
      <c r="G22" s="47">
        <v>2017</v>
      </c>
      <c r="H22" s="47" t="s">
        <v>165</v>
      </c>
      <c r="I22" s="50">
        <f>SUMIF(GPS!$D22:$D$1048576,Tabla1[[#This Row],[MAQUINARIA]],GPS!$G$2:$G$1048576)</f>
        <v>0</v>
      </c>
      <c r="J22" s="51"/>
      <c r="K22" s="52">
        <f>Tabla1[[#This Row],[KM]]+SUMIF(GPS!$D$746:$D$1048570,Tabla1[[#This Row],[MAQUINARIA]],GPS!$G$746:$G$1048570)</f>
        <v>0</v>
      </c>
      <c r="L22" s="53">
        <v>45689</v>
      </c>
      <c r="M22" s="54">
        <f t="shared" ca="1" si="0"/>
        <v>-522</v>
      </c>
      <c r="N22" s="60">
        <f>Tabla1[[#This Row],[REVISION TECNICA]]</f>
        <v>45689</v>
      </c>
      <c r="O22" s="47">
        <f ca="1">IF(Tabla1[[#This Row],[GASES Y CONTAMINANTES]]="-","-",Tabla1[[#This Row],[GASES Y CONTAMINANTES]]-TODAY())</f>
        <v>-522</v>
      </c>
      <c r="P22" s="55"/>
      <c r="Q22" s="50" t="str">
        <f>IF(Tabla1[[#This Row],[PROXIMO Cambio de aceite]]="","-",Tabla1[[#This Row],[PROXIMO Cambio de aceite]]-Tabla1[[#This Row],[KM ACTUAL]])</f>
        <v>-</v>
      </c>
      <c r="R22" s="48" t="s">
        <v>40</v>
      </c>
      <c r="S22" s="56">
        <f>SUMIF(GPS!D:D,Tabla1[[#This Row],[MAQUINARIA]],GPS!M:M)</f>
        <v>0</v>
      </c>
      <c r="T22" s="56">
        <f>SUMIF('GASTOS Y MANTENCIONES'!B:B,C22,'GASTOS Y MANTENCIONES'!C:C)</f>
        <v>25300</v>
      </c>
      <c r="U22" s="56">
        <f>Tabla1[[#This Row],[GASTO EN COMBUSTIBLES]]+Tabla1[[#This Row],[$ EN MANTENCIÓN]]</f>
        <v>25300</v>
      </c>
      <c r="V22" s="57" t="str">
        <f>IFERROR((Tabla1[[#This Row],[GASTO EN COMBUSTIBLES]]+Tabla1[[#This Row],[$ EN MANTENCIÓN]])/Tabla1[[#This Row],[KM DE comienzo]],"-")</f>
        <v>-</v>
      </c>
      <c r="W22" s="75">
        <f t="shared" si="1"/>
        <v>1</v>
      </c>
      <c r="X22" s="56" t="str">
        <f t="shared" si="2"/>
        <v>Fuera de servicio</v>
      </c>
      <c r="Y22" s="83">
        <f>Tabla1[[#This Row],[PRIORIDAD]]+(ROW()/1000)</f>
        <v>1.022</v>
      </c>
    </row>
  </sheetData>
  <conditionalFormatting sqref="M1:M1048576">
    <cfRule type="cellIs" dxfId="11" priority="12" operator="between">
      <formula>1</formula>
      <formula>60</formula>
    </cfRule>
  </conditionalFormatting>
  <conditionalFormatting sqref="M2:M1048576">
    <cfRule type="cellIs" dxfId="10" priority="13" operator="lessThan">
      <formula>0</formula>
    </cfRule>
  </conditionalFormatting>
  <conditionalFormatting sqref="O1:Q1048576">
    <cfRule type="cellIs" dxfId="9" priority="10" operator="between">
      <formula>1</formula>
      <formula>60</formula>
    </cfRule>
    <cfRule type="cellIs" dxfId="8" priority="11" operator="lessThan">
      <formula>0</formula>
    </cfRule>
  </conditionalFormatting>
  <conditionalFormatting sqref="Q2:Q22">
    <cfRule type="cellIs" dxfId="7" priority="4" operator="between">
      <formula>1</formula>
      <formula>350</formula>
    </cfRule>
  </conditionalFormatting>
  <conditionalFormatting sqref="R1:R1048576">
    <cfRule type="containsText" dxfId="6" priority="6" operator="containsText" text="ARRIENDO">
      <formula>NOT(ISERROR(SEARCH("ARRIENDO",R1)))</formula>
    </cfRule>
    <cfRule type="containsText" dxfId="5" priority="7" operator="containsText" text="EN MANTENCIÓN">
      <formula>NOT(ISERROR(SEARCH("EN MANTENCIÓN",R1)))</formula>
    </cfRule>
    <cfRule type="containsText" dxfId="4" priority="8" operator="containsText" text="FUERA DE SERVICIO">
      <formula>NOT(ISERROR(SEARCH("FUERA DE SERVICIO",R1)))</formula>
    </cfRule>
    <cfRule type="containsText" dxfId="3" priority="9" operator="containsText" text="OPERATIVA">
      <formula>NOT(ISERROR(SEARCH("OPERATIVA",R1)))</formula>
    </cfRule>
  </conditionalFormatting>
  <conditionalFormatting sqref="X2:X22">
    <cfRule type="containsText" dxfId="2" priority="1" operator="containsText" text="pró">
      <formula>NOT(ISERROR(SEARCH("pró",X2)))</formula>
    </cfRule>
    <cfRule type="containsText" dxfId="1" priority="2" operator="containsText" text="vencid">
      <formula>NOT(ISERROR(SEARCH("vencid",X2)))</formula>
    </cfRule>
    <cfRule type="containsText" dxfId="0" priority="3" operator="containsText" text="ok">
      <formula>NOT(ISERROR(SEARCH("ok",X2)))</formula>
    </cfRule>
  </conditionalFormatting>
  <dataValidations count="1">
    <dataValidation type="list" allowBlank="1" showInputMessage="1" showErrorMessage="1" sqref="R2:R22" xr:uid="{01BD631C-466D-4980-A0B4-4BF7D590CE51}">
      <formula1>$Z$2:$Z$5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52"/>
  <sheetViews>
    <sheetView workbookViewId="0">
      <pane ySplit="1" topLeftCell="A724" activePane="bottomLeft" state="frozen"/>
      <selection pane="bottomLeft" activeCell="G753" sqref="G753"/>
    </sheetView>
  </sheetViews>
  <sheetFormatPr baseColWidth="10" defaultRowHeight="15" x14ac:dyDescent="0.25"/>
  <cols>
    <col min="3" max="3" width="10.42578125" customWidth="1"/>
    <col min="4" max="4" width="9.5703125" customWidth="1"/>
    <col min="8" max="8" width="4.140625" customWidth="1"/>
    <col min="9" max="9" width="6.7109375" customWidth="1"/>
    <col min="10" max="10" width="9" customWidth="1"/>
    <col min="16" max="16" width="29.28515625" bestFit="1" customWidth="1"/>
  </cols>
  <sheetData>
    <row r="1" spans="1:17" ht="12.75" customHeight="1" x14ac:dyDescent="0.25">
      <c r="A1" s="11" t="s">
        <v>166</v>
      </c>
      <c r="B1" s="11" t="s">
        <v>167</v>
      </c>
      <c r="C1" s="12" t="s">
        <v>168</v>
      </c>
      <c r="D1" s="79" t="s">
        <v>169</v>
      </c>
      <c r="E1" s="13" t="s">
        <v>170</v>
      </c>
      <c r="F1" s="11" t="s">
        <v>171</v>
      </c>
      <c r="G1" s="11" t="s">
        <v>172</v>
      </c>
      <c r="H1" s="11" t="s">
        <v>173</v>
      </c>
      <c r="I1" s="11" t="s">
        <v>174</v>
      </c>
      <c r="J1" s="11" t="s">
        <v>175</v>
      </c>
      <c r="K1" s="11" t="s">
        <v>176</v>
      </c>
      <c r="L1" s="11" t="s">
        <v>177</v>
      </c>
      <c r="M1" s="14" t="s">
        <v>178</v>
      </c>
      <c r="N1" s="12" t="s">
        <v>179</v>
      </c>
      <c r="P1" s="5" t="s">
        <v>180</v>
      </c>
      <c r="Q1" s="5">
        <v>9</v>
      </c>
    </row>
    <row r="2" spans="1:17" ht="12.75" customHeight="1" x14ac:dyDescent="0.25">
      <c r="A2" s="11" t="str">
        <f>_xlfn.XLOOKUP(Tabla15[[#This Row],[GPS]],Hoja3!A:A,Hoja3!B:B)</f>
        <v>TRACTOR</v>
      </c>
      <c r="B2" s="11" t="str">
        <f>_xlfn.XLOOKUP(GPS!D2,Hoja3!A:A,Hoja3!D:D)</f>
        <v>PETRÓLEO</v>
      </c>
      <c r="C2" s="12" t="str">
        <f>_xlfn.XLOOKUP(Tabla15[[#This Row],[GPS]],Hoja3!A:A,Hoja3!C:C)</f>
        <v>T4</v>
      </c>
      <c r="D2" s="12" t="s">
        <v>23</v>
      </c>
      <c r="E2" s="13">
        <v>46111</v>
      </c>
      <c r="F2" s="11">
        <v>11.529199999999999</v>
      </c>
      <c r="G2" s="11">
        <v>63.29</v>
      </c>
      <c r="H2" s="11">
        <v>1</v>
      </c>
      <c r="I2" s="11">
        <v>6.5488999999999997</v>
      </c>
      <c r="J2" s="11">
        <v>67.486900000000006</v>
      </c>
      <c r="K2" s="11">
        <v>1.44</v>
      </c>
      <c r="L2" s="15">
        <f t="shared" ref="L2:L65" si="0">IF(AND(A2="CAMIONETA",B2="BENCINA"),G2/$Q$5,IF(A2="TRACTOR",G2/$Q$3,G2/$Q$1))</f>
        <v>10.548333333333334</v>
      </c>
      <c r="M2" s="14">
        <f>IF(Tabla15[[#This Row],[COMBUSTIBLE]]="PETRÓLEO",L2*$Q$2,L2*$Q$4)</f>
        <v>12668.548333333334</v>
      </c>
      <c r="N2" s="12" t="str">
        <f>IF(OR(WEEKDAY(Tabla15[[#This Row],[Fecha]],2)=6,WEEKDAY(Tabla15[[#This Row],[Fecha]],2)=7),"Fin de semana","Semana")</f>
        <v>Semana</v>
      </c>
      <c r="P2" s="6" t="s">
        <v>181</v>
      </c>
      <c r="Q2" s="7">
        <v>1201</v>
      </c>
    </row>
    <row r="3" spans="1:17" ht="12.75" customHeight="1" x14ac:dyDescent="0.25">
      <c r="A3" s="11" t="str">
        <f>_xlfn.XLOOKUP(Tabla15[[#This Row],[GPS]],Hoja3!A:A,Hoja3!B:B)</f>
        <v>TRACTOR</v>
      </c>
      <c r="B3" s="11" t="str">
        <f>_xlfn.XLOOKUP(GPS!D3,Hoja3!A:A,Hoja3!D:D)</f>
        <v>PETRÓLEO</v>
      </c>
      <c r="C3" s="12" t="str">
        <f>_xlfn.XLOOKUP(Tabla15[[#This Row],[GPS]],Hoja3!A:A,Hoja3!C:C)</f>
        <v>T14</v>
      </c>
      <c r="D3" s="12" t="s">
        <v>21</v>
      </c>
      <c r="E3" s="13">
        <v>46111</v>
      </c>
      <c r="F3" s="11">
        <v>9.7139000000000006</v>
      </c>
      <c r="G3" s="11">
        <v>66.09</v>
      </c>
      <c r="H3" s="11">
        <v>1</v>
      </c>
      <c r="I3" s="11">
        <v>7.4539999999999997</v>
      </c>
      <c r="J3" s="11">
        <v>103.45269999999999</v>
      </c>
      <c r="K3" s="11">
        <v>1.21</v>
      </c>
      <c r="L3" s="15">
        <f t="shared" si="0"/>
        <v>11.015000000000001</v>
      </c>
      <c r="M3" s="14">
        <f>IF(Tabla15[[#This Row],[COMBUSTIBLE]]="PETRÓLEO",L3*$Q$2,L3*$Q$4)</f>
        <v>13229.015000000001</v>
      </c>
      <c r="N3" s="12" t="str">
        <f>IF(OR(WEEKDAY(Tabla15[[#This Row],[Fecha]],2)=6,WEEKDAY(Tabla15[[#This Row],[Fecha]],2)=7),"Fin de semana","Semana")</f>
        <v>Semana</v>
      </c>
      <c r="P3" s="8" t="s">
        <v>182</v>
      </c>
      <c r="Q3" s="9">
        <v>6</v>
      </c>
    </row>
    <row r="4" spans="1:17" ht="12.75" customHeight="1" x14ac:dyDescent="0.25">
      <c r="A4" s="11" t="str">
        <f>_xlfn.XLOOKUP(Tabla15[[#This Row],[GPS]],Hoja3!A:A,Hoja3!B:B)</f>
        <v>TRACTOR</v>
      </c>
      <c r="B4" s="11" t="str">
        <f>_xlfn.XLOOKUP(GPS!D4,Hoja3!A:A,Hoja3!D:D)</f>
        <v>PETRÓLEO</v>
      </c>
      <c r="C4" s="12" t="str">
        <f>_xlfn.XLOOKUP(Tabla15[[#This Row],[GPS]],Hoja3!A:A,Hoja3!C:C)</f>
        <v>T13</v>
      </c>
      <c r="D4" s="12" t="s">
        <v>19</v>
      </c>
      <c r="E4" s="13">
        <v>46111</v>
      </c>
      <c r="F4" s="11">
        <v>8.6636000000000006</v>
      </c>
      <c r="G4" s="11">
        <v>29.01</v>
      </c>
      <c r="H4" s="11">
        <v>1</v>
      </c>
      <c r="I4" s="11">
        <v>6.8125</v>
      </c>
      <c r="J4" s="11">
        <v>66.116399999999999</v>
      </c>
      <c r="K4" s="11">
        <v>1.08</v>
      </c>
      <c r="L4" s="15">
        <f t="shared" si="0"/>
        <v>4.835</v>
      </c>
      <c r="M4" s="14">
        <f>IF(Tabla15[[#This Row],[COMBUSTIBLE]]="PETRÓLEO",L4*$Q$2,L4*$Q$4)</f>
        <v>5806.835</v>
      </c>
      <c r="N4" s="12" t="str">
        <f>IF(OR(WEEKDAY(Tabla15[[#This Row],[Fecha]],2)=6,WEEKDAY(Tabla15[[#This Row],[Fecha]],2)=7),"Fin de semana","Semana")</f>
        <v>Semana</v>
      </c>
      <c r="P4" s="3" t="s">
        <v>183</v>
      </c>
      <c r="Q4" s="10">
        <v>1550</v>
      </c>
    </row>
    <row r="5" spans="1:17" ht="12.75" customHeight="1" x14ac:dyDescent="0.25">
      <c r="A5" s="11" t="str">
        <f>_xlfn.XLOOKUP(Tabla15[[#This Row],[GPS]],Hoja3!A:A,Hoja3!B:B)</f>
        <v>TRACTOR</v>
      </c>
      <c r="B5" s="11" t="str">
        <f>_xlfn.XLOOKUP(GPS!D5,Hoja3!A:A,Hoja3!D:D)</f>
        <v>PETRÓLEO</v>
      </c>
      <c r="C5" s="12" t="str">
        <f>_xlfn.XLOOKUP(Tabla15[[#This Row],[GPS]],Hoja3!A:A,Hoja3!C:C)</f>
        <v>TA01</v>
      </c>
      <c r="D5" s="12" t="s">
        <v>29</v>
      </c>
      <c r="E5" s="13">
        <v>46111</v>
      </c>
      <c r="F5" s="11">
        <v>6.5252999999999997</v>
      </c>
      <c r="G5" s="11">
        <v>30.72</v>
      </c>
      <c r="H5" s="11">
        <v>1</v>
      </c>
      <c r="I5" s="11">
        <v>6.0674000000000001</v>
      </c>
      <c r="J5" s="11">
        <v>26.9999</v>
      </c>
      <c r="K5" s="11">
        <v>0.82</v>
      </c>
      <c r="L5" s="15">
        <f t="shared" si="0"/>
        <v>5.12</v>
      </c>
      <c r="M5" s="14">
        <f>IF(Tabla15[[#This Row],[COMBUSTIBLE]]="PETRÓLEO",L5*$Q$2,L5*$Q$4)</f>
        <v>6149.12</v>
      </c>
      <c r="N5" s="12" t="str">
        <f>IF(OR(WEEKDAY(Tabla15[[#This Row],[Fecha]],2)=6,WEEKDAY(Tabla15[[#This Row],[Fecha]],2)=7),"Fin de semana","Semana")</f>
        <v>Semana</v>
      </c>
      <c r="P5" s="5" t="s">
        <v>184</v>
      </c>
      <c r="Q5" s="3">
        <v>11</v>
      </c>
    </row>
    <row r="6" spans="1:17" ht="12.75" customHeight="1" x14ac:dyDescent="0.25">
      <c r="A6" s="11" t="str">
        <f>_xlfn.XLOOKUP(Tabla15[[#This Row],[GPS]],Hoja3!A:A,Hoja3!B:B)</f>
        <v>TRACTOR</v>
      </c>
      <c r="B6" s="11" t="str">
        <f>_xlfn.XLOOKUP(GPS!D6,Hoja3!A:A,Hoja3!D:D)</f>
        <v>PETRÓLEO</v>
      </c>
      <c r="C6" s="12" t="str">
        <f>_xlfn.XLOOKUP(Tabla15[[#This Row],[GPS]],Hoja3!A:A,Hoja3!C:C)</f>
        <v>TA02</v>
      </c>
      <c r="D6" s="12" t="s">
        <v>30</v>
      </c>
      <c r="E6" s="13">
        <v>46111</v>
      </c>
      <c r="F6" s="11">
        <v>5.7485999999999997</v>
      </c>
      <c r="G6" s="11">
        <v>12.07</v>
      </c>
      <c r="H6" s="11">
        <v>1</v>
      </c>
      <c r="I6" s="11">
        <v>4.1947000000000001</v>
      </c>
      <c r="J6" s="11">
        <v>67.542400000000001</v>
      </c>
      <c r="K6" s="11">
        <v>0.72</v>
      </c>
      <c r="L6" s="15">
        <f t="shared" si="0"/>
        <v>2.0116666666666667</v>
      </c>
      <c r="M6" s="14">
        <f>IF(Tabla15[[#This Row],[COMBUSTIBLE]]="PETRÓLEO",L6*$Q$2,L6*$Q$4)</f>
        <v>2416.0116666666668</v>
      </c>
      <c r="N6" s="12" t="str">
        <f>IF(OR(WEEKDAY(Tabla15[[#This Row],[Fecha]],2)=6,WEEKDAY(Tabla15[[#This Row],[Fecha]],2)=7),"Fin de semana","Semana")</f>
        <v>Semana</v>
      </c>
    </row>
    <row r="7" spans="1:17" ht="12.75" customHeight="1" x14ac:dyDescent="0.25">
      <c r="A7" s="11" t="str">
        <f>_xlfn.XLOOKUP(Tabla15[[#This Row],[GPS]],Hoja3!A:A,Hoja3!B:B)</f>
        <v>TRACTOR</v>
      </c>
      <c r="B7" s="11" t="str">
        <f>_xlfn.XLOOKUP(GPS!D7,Hoja3!A:A,Hoja3!D:D)</f>
        <v>PETRÓLEO</v>
      </c>
      <c r="C7" s="12" t="str">
        <f>_xlfn.XLOOKUP(Tabla15[[#This Row],[GPS]],Hoja3!A:A,Hoja3!C:C)</f>
        <v>T10</v>
      </c>
      <c r="D7" s="12" t="s">
        <v>14</v>
      </c>
      <c r="E7" s="13">
        <v>46111</v>
      </c>
      <c r="F7" s="11">
        <v>4.8518999999999997</v>
      </c>
      <c r="G7" s="11">
        <v>9.5399999999999991</v>
      </c>
      <c r="H7" s="11">
        <v>1</v>
      </c>
      <c r="I7" s="11">
        <v>3.6598999999999999</v>
      </c>
      <c r="J7" s="11">
        <v>16.908799999999999</v>
      </c>
      <c r="K7" s="11">
        <v>0.61</v>
      </c>
      <c r="L7" s="15">
        <f t="shared" si="0"/>
        <v>1.5899999999999999</v>
      </c>
      <c r="M7" s="14">
        <f>IF(Tabla15[[#This Row],[COMBUSTIBLE]]="PETRÓLEO",L7*$Q$2,L7*$Q$4)</f>
        <v>1909.59</v>
      </c>
      <c r="N7" s="12" t="str">
        <f>IF(OR(WEEKDAY(Tabla15[[#This Row],[Fecha]],2)=6,WEEKDAY(Tabla15[[#This Row],[Fecha]],2)=7),"Fin de semana","Semana")</f>
        <v>Semana</v>
      </c>
    </row>
    <row r="8" spans="1:17" ht="12.75" customHeight="1" x14ac:dyDescent="0.25">
      <c r="A8" s="11" t="str">
        <f>_xlfn.XLOOKUP(Tabla15[[#This Row],[GPS]],Hoja3!A:A,Hoja3!B:B)</f>
        <v>TRACTOR</v>
      </c>
      <c r="B8" s="11" t="str">
        <f>_xlfn.XLOOKUP(GPS!D8,Hoja3!A:A,Hoja3!D:D)</f>
        <v>PETRÓLEO</v>
      </c>
      <c r="C8" s="12" t="str">
        <f>_xlfn.XLOOKUP(Tabla15[[#This Row],[GPS]],Hoja3!A:A,Hoja3!C:C)</f>
        <v>T12</v>
      </c>
      <c r="D8" s="12" t="s">
        <v>17</v>
      </c>
      <c r="E8" s="13">
        <v>46111</v>
      </c>
      <c r="F8" s="11">
        <v>4.7594000000000003</v>
      </c>
      <c r="G8" s="11">
        <v>37.19</v>
      </c>
      <c r="H8" s="11">
        <v>1</v>
      </c>
      <c r="I8" s="11">
        <v>10.8507</v>
      </c>
      <c r="J8" s="11">
        <v>68.042500000000004</v>
      </c>
      <c r="K8" s="11">
        <v>0.59</v>
      </c>
      <c r="L8" s="15">
        <f t="shared" si="0"/>
        <v>6.1983333333333333</v>
      </c>
      <c r="M8" s="14">
        <f>IF(Tabla15[[#This Row],[COMBUSTIBLE]]="PETRÓLEO",L8*$Q$2,L8*$Q$4)</f>
        <v>7444.1983333333328</v>
      </c>
      <c r="N8" s="12" t="str">
        <f>IF(OR(WEEKDAY(Tabla15[[#This Row],[Fecha]],2)=6,WEEKDAY(Tabla15[[#This Row],[Fecha]],2)=7),"Fin de semana","Semana")</f>
        <v>Semana</v>
      </c>
    </row>
    <row r="9" spans="1:17" ht="12.75" customHeight="1" x14ac:dyDescent="0.25">
      <c r="A9" s="11" t="str">
        <f>_xlfn.XLOOKUP(Tabla15[[#This Row],[GPS]],Hoja3!A:A,Hoja3!B:B)</f>
        <v>CAMIONETA</v>
      </c>
      <c r="B9" s="11" t="str">
        <f>_xlfn.XLOOKUP(GPS!D9,Hoja3!A:A,Hoja3!D:D)</f>
        <v>PETRÓLEO</v>
      </c>
      <c r="C9" s="12" t="str">
        <f>_xlfn.XLOOKUP(Tabla15[[#This Row],[GPS]],Hoja3!A:A,Hoja3!C:C)</f>
        <v>CAMPO PAINE</v>
      </c>
      <c r="D9" s="12" t="s">
        <v>131</v>
      </c>
      <c r="E9" s="13">
        <v>46111</v>
      </c>
      <c r="F9" s="11">
        <v>4.7405999999999997</v>
      </c>
      <c r="G9" s="11">
        <v>70.599999999999994</v>
      </c>
      <c r="H9" s="11">
        <v>1</v>
      </c>
      <c r="I9" s="11">
        <v>20.9572</v>
      </c>
      <c r="J9" s="11">
        <v>146.80799999999999</v>
      </c>
      <c r="K9" s="11">
        <v>0.59</v>
      </c>
      <c r="L9" s="15">
        <f t="shared" si="0"/>
        <v>7.8444444444444441</v>
      </c>
      <c r="M9" s="14">
        <f>IF(Tabla15[[#This Row],[COMBUSTIBLE]]="PETRÓLEO",L9*$Q$2,L9*$Q$4)</f>
        <v>9421.177777777777</v>
      </c>
      <c r="N9" s="12" t="str">
        <f>IF(OR(WEEKDAY(Tabla15[[#This Row],[Fecha]],2)=6,WEEKDAY(Tabla15[[#This Row],[Fecha]],2)=7),"Fin de semana","Semana")</f>
        <v>Semana</v>
      </c>
    </row>
    <row r="10" spans="1:17" ht="12.75" customHeight="1" x14ac:dyDescent="0.25">
      <c r="A10" s="11" t="str">
        <f>_xlfn.XLOOKUP(Tabla15[[#This Row],[GPS]],Hoja3!A:A,Hoja3!B:B)</f>
        <v>TRACTOR</v>
      </c>
      <c r="B10" s="11" t="str">
        <f>_xlfn.XLOOKUP(GPS!D10,Hoja3!A:A,Hoja3!D:D)</f>
        <v>PETRÓLEO</v>
      </c>
      <c r="C10" s="12" t="str">
        <f>_xlfn.XLOOKUP(Tabla15[[#This Row],[GPS]],Hoja3!A:A,Hoja3!C:C)</f>
        <v>T7</v>
      </c>
      <c r="D10" s="12" t="s">
        <v>26</v>
      </c>
      <c r="E10" s="13">
        <v>46111</v>
      </c>
      <c r="F10" s="11">
        <v>4.2336</v>
      </c>
      <c r="G10" s="11">
        <v>34.49</v>
      </c>
      <c r="H10" s="11">
        <v>1</v>
      </c>
      <c r="I10" s="11">
        <v>11.4292</v>
      </c>
      <c r="J10" s="11">
        <v>38.540100000000002</v>
      </c>
      <c r="K10" s="11">
        <v>0.53</v>
      </c>
      <c r="L10" s="15">
        <f t="shared" si="0"/>
        <v>5.748333333333334</v>
      </c>
      <c r="M10" s="14">
        <f>IF(Tabla15[[#This Row],[COMBUSTIBLE]]="PETRÓLEO",L10*$Q$2,L10*$Q$4)</f>
        <v>6903.7483333333339</v>
      </c>
      <c r="N10" s="12" t="str">
        <f>IF(OR(WEEKDAY(Tabla15[[#This Row],[Fecha]],2)=6,WEEKDAY(Tabla15[[#This Row],[Fecha]],2)=7),"Fin de semana","Semana")</f>
        <v>Semana</v>
      </c>
    </row>
    <row r="11" spans="1:17" ht="12.75" customHeight="1" x14ac:dyDescent="0.25">
      <c r="A11" s="11" t="str">
        <f>_xlfn.XLOOKUP(Tabla15[[#This Row],[GPS]],Hoja3!A:A,Hoja3!B:B)</f>
        <v>TRACTOR</v>
      </c>
      <c r="B11" s="11" t="str">
        <f>_xlfn.XLOOKUP(GPS!D11,Hoja3!A:A,Hoja3!D:D)</f>
        <v>PETRÓLEO</v>
      </c>
      <c r="C11" s="12" t="str">
        <f>_xlfn.XLOOKUP(Tabla15[[#This Row],[GPS]],Hoja3!A:A,Hoja3!C:C)</f>
        <v>T6</v>
      </c>
      <c r="D11" s="12" t="s">
        <v>25</v>
      </c>
      <c r="E11" s="13">
        <v>46111</v>
      </c>
      <c r="F11" s="11">
        <v>4.2013999999999996</v>
      </c>
      <c r="G11" s="11">
        <v>19.53</v>
      </c>
      <c r="H11" s="11">
        <v>1</v>
      </c>
      <c r="I11" s="11">
        <v>8.0266999999999999</v>
      </c>
      <c r="J11" s="11">
        <v>65.968199999999996</v>
      </c>
      <c r="K11" s="11">
        <v>0.53</v>
      </c>
      <c r="L11" s="15">
        <f t="shared" si="0"/>
        <v>3.2550000000000003</v>
      </c>
      <c r="M11" s="14">
        <f>IF(Tabla15[[#This Row],[COMBUSTIBLE]]="PETRÓLEO",L11*$Q$2,L11*$Q$4)</f>
        <v>3909.2550000000006</v>
      </c>
      <c r="N11" s="12" t="str">
        <f>IF(OR(WEEKDAY(Tabla15[[#This Row],[Fecha]],2)=6,WEEKDAY(Tabla15[[#This Row],[Fecha]],2)=7),"Fin de semana","Semana")</f>
        <v>Semana</v>
      </c>
    </row>
    <row r="12" spans="1:17" ht="12.75" customHeight="1" x14ac:dyDescent="0.25">
      <c r="A12" s="11" t="str">
        <f>_xlfn.XLOOKUP(Tabla15[[#This Row],[GPS]],Hoja3!A:A,Hoja3!B:B)</f>
        <v>CAMIONETA</v>
      </c>
      <c r="B12" s="11" t="str">
        <f>_xlfn.XLOOKUP(GPS!D12,Hoja3!A:A,Hoja3!D:D)</f>
        <v>PETRÓLEO</v>
      </c>
      <c r="C12" s="12" t="str">
        <f>_xlfn.XLOOKUP(Tabla15[[#This Row],[GPS]],Hoja3!A:A,Hoja3!C:C)</f>
        <v>RODRIGO SALINAS</v>
      </c>
      <c r="D12" s="12" t="s">
        <v>109</v>
      </c>
      <c r="E12" s="13">
        <v>46111</v>
      </c>
      <c r="F12" s="11">
        <v>3.8264</v>
      </c>
      <c r="G12" s="11">
        <v>136.32</v>
      </c>
      <c r="H12" s="11">
        <v>1</v>
      </c>
      <c r="I12" s="11">
        <v>42.596699999999998</v>
      </c>
      <c r="J12" s="11">
        <v>303.30200000000002</v>
      </c>
      <c r="K12" s="11">
        <v>0.48</v>
      </c>
      <c r="L12" s="15">
        <f t="shared" si="0"/>
        <v>15.146666666666667</v>
      </c>
      <c r="M12" s="14">
        <f>IF(Tabla15[[#This Row],[COMBUSTIBLE]]="PETRÓLEO",L12*$Q$2,L12*$Q$4)</f>
        <v>18191.146666666667</v>
      </c>
      <c r="N12" s="12" t="str">
        <f>IF(OR(WEEKDAY(Tabla15[[#This Row],[Fecha]],2)=6,WEEKDAY(Tabla15[[#This Row],[Fecha]],2)=7),"Fin de semana","Semana")</f>
        <v>Semana</v>
      </c>
    </row>
    <row r="13" spans="1:17" ht="12.75" customHeight="1" x14ac:dyDescent="0.25">
      <c r="A13" s="11" t="str">
        <f>_xlfn.XLOOKUP(Tabla15[[#This Row],[GPS]],Hoja3!A:A,Hoja3!B:B)</f>
        <v>CAMIONETA</v>
      </c>
      <c r="B13" s="11" t="str">
        <f>_xlfn.XLOOKUP(GPS!D13,Hoja3!A:A,Hoja3!D:D)</f>
        <v>PETRÓLEO</v>
      </c>
      <c r="C13" s="12" t="str">
        <f>_xlfn.XLOOKUP(Tabla15[[#This Row],[GPS]],Hoja3!A:A,Hoja3!C:C)</f>
        <v>CAMPO CERRILLOS</v>
      </c>
      <c r="D13" s="12" t="s">
        <v>121</v>
      </c>
      <c r="E13" s="13">
        <v>46111</v>
      </c>
      <c r="F13" s="11">
        <v>3.3264</v>
      </c>
      <c r="G13" s="11">
        <v>45.22</v>
      </c>
      <c r="H13" s="11">
        <v>1</v>
      </c>
      <c r="I13" s="11">
        <v>13.6442</v>
      </c>
      <c r="J13" s="11">
        <v>47.262999999999998</v>
      </c>
      <c r="K13" s="11">
        <v>0.42</v>
      </c>
      <c r="L13" s="15">
        <f t="shared" si="0"/>
        <v>5.0244444444444447</v>
      </c>
      <c r="M13" s="14">
        <f>IF(Tabla15[[#This Row],[COMBUSTIBLE]]="PETRÓLEO",L13*$Q$2,L13*$Q$4)</f>
        <v>6034.3577777777782</v>
      </c>
      <c r="N13" s="12" t="str">
        <f>IF(OR(WEEKDAY(Tabla15[[#This Row],[Fecha]],2)=6,WEEKDAY(Tabla15[[#This Row],[Fecha]],2)=7),"Fin de semana","Semana")</f>
        <v>Semana</v>
      </c>
    </row>
    <row r="14" spans="1:17" ht="12.75" customHeight="1" x14ac:dyDescent="0.25">
      <c r="A14" s="11" t="str">
        <f>_xlfn.XLOOKUP(Tabla15[[#This Row],[GPS]],Hoja3!A:A,Hoja3!B:B)</f>
        <v>CAMIONETA</v>
      </c>
      <c r="B14" s="11" t="str">
        <f>_xlfn.XLOOKUP(GPS!D14,Hoja3!A:A,Hoja3!D:D)</f>
        <v>PETRÓLEO</v>
      </c>
      <c r="C14" s="12" t="str">
        <f>_xlfn.XLOOKUP(Tabla15[[#This Row],[GPS]],Hoja3!A:A,Hoja3!C:C)</f>
        <v>CAMPO RULO</v>
      </c>
      <c r="D14" s="12" t="s">
        <v>135</v>
      </c>
      <c r="E14" s="13">
        <v>46111</v>
      </c>
      <c r="F14" s="11">
        <v>3.2738999999999998</v>
      </c>
      <c r="G14" s="11">
        <v>42</v>
      </c>
      <c r="H14" s="11">
        <v>1</v>
      </c>
      <c r="I14" s="11">
        <v>16.8322</v>
      </c>
      <c r="J14" s="11">
        <v>177.38460000000001</v>
      </c>
      <c r="K14" s="11">
        <v>0.41</v>
      </c>
      <c r="L14" s="15">
        <f t="shared" si="0"/>
        <v>4.666666666666667</v>
      </c>
      <c r="M14" s="14">
        <f>IF(Tabla15[[#This Row],[COMBUSTIBLE]]="PETRÓLEO",L14*$Q$2,L14*$Q$4)</f>
        <v>5604.666666666667</v>
      </c>
      <c r="N14" s="12" t="str">
        <f>IF(OR(WEEKDAY(Tabla15[[#This Row],[Fecha]],2)=6,WEEKDAY(Tabla15[[#This Row],[Fecha]],2)=7),"Fin de semana","Semana")</f>
        <v>Semana</v>
      </c>
    </row>
    <row r="15" spans="1:17" ht="12.75" customHeight="1" x14ac:dyDescent="0.25">
      <c r="A15" s="11" t="str">
        <f>_xlfn.XLOOKUP(Tabla15[[#This Row],[GPS]],Hoja3!A:A,Hoja3!B:B)</f>
        <v>TRACTOR</v>
      </c>
      <c r="B15" s="11" t="str">
        <f>_xlfn.XLOOKUP(GPS!D15,Hoja3!A:A,Hoja3!D:D)</f>
        <v>PETRÓLEO</v>
      </c>
      <c r="C15" s="12" t="str">
        <f>_xlfn.XLOOKUP(Tabla15[[#This Row],[GPS]],Hoja3!A:A,Hoja3!C:C)</f>
        <v>T5</v>
      </c>
      <c r="D15" s="12" t="s">
        <v>24</v>
      </c>
      <c r="E15" s="13">
        <v>46111</v>
      </c>
      <c r="F15" s="11">
        <v>2.7010999999999998</v>
      </c>
      <c r="G15" s="11">
        <v>18.059999999999999</v>
      </c>
      <c r="H15" s="11">
        <v>1</v>
      </c>
      <c r="I15" s="11">
        <v>7.8433999999999999</v>
      </c>
      <c r="J15" s="11">
        <v>26.428000000000001</v>
      </c>
      <c r="K15" s="11">
        <v>0.34</v>
      </c>
      <c r="L15" s="15">
        <f t="shared" si="0"/>
        <v>3.01</v>
      </c>
      <c r="M15" s="14">
        <f>IF(Tabla15[[#This Row],[COMBUSTIBLE]]="PETRÓLEO",L15*$Q$2,L15*$Q$4)</f>
        <v>3615.0099999999998</v>
      </c>
      <c r="N15" s="12" t="str">
        <f>IF(OR(WEEKDAY(Tabla15[[#This Row],[Fecha]],2)=6,WEEKDAY(Tabla15[[#This Row],[Fecha]],2)=7),"Fin de semana","Semana")</f>
        <v>Semana</v>
      </c>
    </row>
    <row r="16" spans="1:17" ht="12.75" customHeight="1" x14ac:dyDescent="0.25">
      <c r="A16" s="11" t="str">
        <f>_xlfn.XLOOKUP(Tabla15[[#This Row],[GPS]],Hoja3!A:A,Hoja3!B:B)</f>
        <v>CAMIONETA</v>
      </c>
      <c r="B16" s="11" t="str">
        <f>_xlfn.XLOOKUP(GPS!D16,Hoja3!A:A,Hoja3!D:D)</f>
        <v>PETRÓLEO</v>
      </c>
      <c r="C16" s="12" t="str">
        <f>_xlfn.XLOOKUP(Tabla15[[#This Row],[GPS]],Hoja3!A:A,Hoja3!C:C)</f>
        <v>GONZALO GUERRERO</v>
      </c>
      <c r="D16" s="12" t="s">
        <v>126</v>
      </c>
      <c r="E16" s="13">
        <v>46111</v>
      </c>
      <c r="F16" s="11">
        <v>1.5275000000000001</v>
      </c>
      <c r="G16" s="11">
        <v>55.89</v>
      </c>
      <c r="H16" s="11">
        <v>1</v>
      </c>
      <c r="I16" s="11">
        <v>38.114400000000003</v>
      </c>
      <c r="J16" s="11">
        <v>110.0001</v>
      </c>
      <c r="K16" s="11">
        <v>0.19</v>
      </c>
      <c r="L16" s="15">
        <f t="shared" si="0"/>
        <v>6.21</v>
      </c>
      <c r="M16" s="14">
        <f>IF(Tabla15[[#This Row],[COMBUSTIBLE]]="PETRÓLEO",L16*$Q$2,L16*$Q$4)</f>
        <v>7458.21</v>
      </c>
      <c r="N16" s="12" t="str">
        <f>IF(OR(WEEKDAY(Tabla15[[#This Row],[Fecha]],2)=6,WEEKDAY(Tabla15[[#This Row],[Fecha]],2)=7),"Fin de semana","Semana")</f>
        <v>Semana</v>
      </c>
    </row>
    <row r="17" spans="1:14" ht="12.75" customHeight="1" x14ac:dyDescent="0.25">
      <c r="A17" s="11" t="str">
        <f>_xlfn.XLOOKUP(Tabla15[[#This Row],[GPS]],Hoja3!A:A,Hoja3!B:B)</f>
        <v>TRACTOR</v>
      </c>
      <c r="B17" s="11" t="str">
        <f>_xlfn.XLOOKUP(GPS!D17,Hoja3!A:A,Hoja3!D:D)</f>
        <v>PETRÓLEO</v>
      </c>
      <c r="C17" s="12" t="str">
        <f>_xlfn.XLOOKUP(Tabla15[[#This Row],[GPS]],Hoja3!A:A,Hoja3!C:C)</f>
        <v>T9</v>
      </c>
      <c r="D17" s="12" t="s">
        <v>28</v>
      </c>
      <c r="E17" s="13">
        <v>46111</v>
      </c>
      <c r="F17" s="11">
        <v>0.49469999999999997</v>
      </c>
      <c r="G17" s="11">
        <v>0.1</v>
      </c>
      <c r="H17" s="11">
        <v>0</v>
      </c>
      <c r="I17" s="11">
        <v>4.7572000000000001</v>
      </c>
      <c r="J17" s="11">
        <v>12.964</v>
      </c>
      <c r="K17" s="11">
        <v>0.06</v>
      </c>
      <c r="L17" s="15">
        <f t="shared" si="0"/>
        <v>1.6666666666666666E-2</v>
      </c>
      <c r="M17" s="14">
        <f>IF(Tabla15[[#This Row],[COMBUSTIBLE]]="PETRÓLEO",L17*$Q$2,L17*$Q$4)</f>
        <v>20.016666666666666</v>
      </c>
      <c r="N17" s="12" t="str">
        <f>IF(OR(WEEKDAY(Tabla15[[#This Row],[Fecha]],2)=6,WEEKDAY(Tabla15[[#This Row],[Fecha]],2)=7),"Fin de semana","Semana")</f>
        <v>Semana</v>
      </c>
    </row>
    <row r="18" spans="1:14" ht="12.75" customHeight="1" x14ac:dyDescent="0.25">
      <c r="A18" s="11" t="str">
        <f>_xlfn.XLOOKUP(Tabla15[[#This Row],[GPS]],Hoja3!A:A,Hoja3!B:B)</f>
        <v>CAMIONETA</v>
      </c>
      <c r="B18" s="11" t="str">
        <f>_xlfn.XLOOKUP(GPS!D18,Hoja3!A:A,Hoja3!D:D)</f>
        <v>BENCINA</v>
      </c>
      <c r="C18" s="12" t="str">
        <f>_xlfn.XLOOKUP(Tabla15[[#This Row],[GPS]],Hoja3!A:A,Hoja3!C:C)</f>
        <v>VG PIÑALEO</v>
      </c>
      <c r="D18" s="12" t="s">
        <v>114</v>
      </c>
      <c r="E18" s="13">
        <v>46111</v>
      </c>
      <c r="F18" s="11">
        <v>0</v>
      </c>
      <c r="G18" s="11">
        <v>34.53</v>
      </c>
      <c r="H18" s="11">
        <v>1</v>
      </c>
      <c r="I18" s="11">
        <v>33.296999999999997</v>
      </c>
      <c r="J18" s="11">
        <v>81.691699999999997</v>
      </c>
      <c r="K18" s="11">
        <v>0</v>
      </c>
      <c r="L18" s="15">
        <f t="shared" si="0"/>
        <v>3.1390909090909092</v>
      </c>
      <c r="M18" s="14">
        <f>IF(Tabla15[[#This Row],[COMBUSTIBLE]]="PETRÓLEO",L18*$Q$2,L18*$Q$4)</f>
        <v>4865.590909090909</v>
      </c>
      <c r="N18" s="12" t="str">
        <f>IF(OR(WEEKDAY(Tabla15[[#This Row],[Fecha]],2)=6,WEEKDAY(Tabla15[[#This Row],[Fecha]],2)=7),"Fin de semana","Semana")</f>
        <v>Semana</v>
      </c>
    </row>
    <row r="19" spans="1:14" ht="12.75" customHeight="1" x14ac:dyDescent="0.25">
      <c r="A19" s="11" t="str">
        <f>_xlfn.XLOOKUP(Tabla15[[#This Row],[GPS]],Hoja3!A:A,Hoja3!B:B)</f>
        <v>CAMIONETA</v>
      </c>
      <c r="B19" s="11" t="str">
        <f>_xlfn.XLOOKUP(GPS!D19,Hoja3!A:A,Hoja3!D:D)</f>
        <v>PETRÓLEO</v>
      </c>
      <c r="C19" s="12" t="str">
        <f>_xlfn.XLOOKUP(Tabla15[[#This Row],[GPS]],Hoja3!A:A,Hoja3!C:C)</f>
        <v>SERGIO ROJAS</v>
      </c>
      <c r="D19" s="12" t="s">
        <v>128</v>
      </c>
      <c r="E19" s="13">
        <v>46111</v>
      </c>
      <c r="F19" s="11">
        <v>0</v>
      </c>
      <c r="G19" s="11">
        <v>54.68</v>
      </c>
      <c r="H19" s="11">
        <v>1</v>
      </c>
      <c r="I19" s="11">
        <v>26.715</v>
      </c>
      <c r="J19" s="11">
        <v>103.0001</v>
      </c>
      <c r="K19" s="11">
        <v>0</v>
      </c>
      <c r="L19" s="15">
        <f t="shared" si="0"/>
        <v>6.0755555555555558</v>
      </c>
      <c r="M19" s="14">
        <f>IF(Tabla15[[#This Row],[COMBUSTIBLE]]="PETRÓLEO",L19*$Q$2,L19*$Q$4)</f>
        <v>7296.7422222222222</v>
      </c>
      <c r="N19" s="12" t="str">
        <f>IF(OR(WEEKDAY(Tabla15[[#This Row],[Fecha]],2)=6,WEEKDAY(Tabla15[[#This Row],[Fecha]],2)=7),"Fin de semana","Semana")</f>
        <v>Semana</v>
      </c>
    </row>
    <row r="20" spans="1:14" ht="12.75" customHeight="1" x14ac:dyDescent="0.25">
      <c r="A20" s="11" t="str">
        <f>_xlfn.XLOOKUP(Tabla15[[#This Row],[GPS]],Hoja3!A:A,Hoja3!B:B)</f>
        <v>CAMIONETA</v>
      </c>
      <c r="B20" s="11" t="str">
        <f>_xlfn.XLOOKUP(GPS!D20,Hoja3!A:A,Hoja3!D:D)</f>
        <v>BENCINA</v>
      </c>
      <c r="C20" s="12" t="str">
        <f>_xlfn.XLOOKUP(Tabla15[[#This Row],[GPS]],Hoja3!A:A,Hoja3!C:C)</f>
        <v>VG GERARDO</v>
      </c>
      <c r="D20" s="12" t="s">
        <v>118</v>
      </c>
      <c r="E20" s="13">
        <v>46111</v>
      </c>
      <c r="F20" s="11">
        <v>0</v>
      </c>
      <c r="G20" s="11">
        <v>46.25</v>
      </c>
      <c r="H20" s="11">
        <v>1</v>
      </c>
      <c r="I20" s="11">
        <v>23.973600000000001</v>
      </c>
      <c r="J20" s="11">
        <v>87.321799999999996</v>
      </c>
      <c r="K20" s="11">
        <v>0</v>
      </c>
      <c r="L20" s="15">
        <f t="shared" si="0"/>
        <v>4.2045454545454541</v>
      </c>
      <c r="M20" s="14">
        <f>IF(Tabla15[[#This Row],[COMBUSTIBLE]]="PETRÓLEO",L20*$Q$2,L20*$Q$4)</f>
        <v>6517.045454545454</v>
      </c>
      <c r="N20" s="12" t="str">
        <f>IF(OR(WEEKDAY(Tabla15[[#This Row],[Fecha]],2)=6,WEEKDAY(Tabla15[[#This Row],[Fecha]],2)=7),"Fin de semana","Semana")</f>
        <v>Semana</v>
      </c>
    </row>
    <row r="21" spans="1:14" ht="12.75" customHeight="1" x14ac:dyDescent="0.25">
      <c r="A21" s="11" t="str">
        <f>_xlfn.XLOOKUP(Tabla15[[#This Row],[GPS]],Hoja3!A:A,Hoja3!B:B)</f>
        <v>CAMIONETA</v>
      </c>
      <c r="B21" s="11" t="str">
        <f>_xlfn.XLOOKUP(GPS!D21,Hoja3!A:A,Hoja3!D:D)</f>
        <v>BENCINA</v>
      </c>
      <c r="C21" s="12" t="str">
        <f>_xlfn.XLOOKUP(Tabla15[[#This Row],[GPS]],Hoja3!A:A,Hoja3!C:C)</f>
        <v>VG CERRILLOS</v>
      </c>
      <c r="D21" s="12" t="s">
        <v>137</v>
      </c>
      <c r="E21" s="13">
        <v>46111</v>
      </c>
      <c r="F21" s="11">
        <v>0</v>
      </c>
      <c r="G21" s="11">
        <v>43.76</v>
      </c>
      <c r="H21" s="11">
        <v>1</v>
      </c>
      <c r="I21" s="11">
        <v>16.6099</v>
      </c>
      <c r="J21" s="11">
        <v>97</v>
      </c>
      <c r="K21" s="11">
        <v>0</v>
      </c>
      <c r="L21" s="15">
        <f t="shared" si="0"/>
        <v>3.978181818181818</v>
      </c>
      <c r="M21" s="14">
        <f>IF(Tabla15[[#This Row],[COMBUSTIBLE]]="PETRÓLEO",L21*$Q$2,L21*$Q$4)</f>
        <v>6166.181818181818</v>
      </c>
      <c r="N21" s="12" t="str">
        <f>IF(OR(WEEKDAY(Tabla15[[#This Row],[Fecha]],2)=6,WEEKDAY(Tabla15[[#This Row],[Fecha]],2)=7),"Fin de semana","Semana")</f>
        <v>Semana</v>
      </c>
    </row>
    <row r="22" spans="1:14" ht="12.75" customHeight="1" x14ac:dyDescent="0.25">
      <c r="A22" s="25" t="str">
        <f>_xlfn.XLOOKUP(Tabla15[[#This Row],[GPS]],Hoja3!A:A,Hoja3!B:B)</f>
        <v>TRACTOR</v>
      </c>
      <c r="B22" s="25" t="str">
        <f>_xlfn.XLOOKUP(GPS!D22,Hoja3!A:A,Hoja3!D:D)</f>
        <v>PETRÓLEO</v>
      </c>
      <c r="C22" s="12" t="str">
        <f>_xlfn.XLOOKUP(Tabla15[[#This Row],[GPS]],Hoja3!A:A,Hoja3!C:C)</f>
        <v>T14</v>
      </c>
      <c r="D22" s="26" t="s">
        <v>21</v>
      </c>
      <c r="E22" s="27">
        <v>46108</v>
      </c>
      <c r="F22" s="25">
        <v>9.3289000000000009</v>
      </c>
      <c r="G22" s="25">
        <v>69.44</v>
      </c>
      <c r="H22" s="25">
        <v>1</v>
      </c>
      <c r="I22" s="11">
        <v>9.0928000000000004</v>
      </c>
      <c r="J22" s="11">
        <v>43.2072</v>
      </c>
      <c r="K22" s="11">
        <v>1.17</v>
      </c>
      <c r="L22" s="15">
        <f t="shared" si="0"/>
        <v>11.573333333333332</v>
      </c>
      <c r="M22" s="14">
        <f>IF(Tabla15[[#This Row],[COMBUSTIBLE]]="PETRÓLEO",L22*$Q$2,L22*$Q$4)</f>
        <v>13899.573333333332</v>
      </c>
      <c r="N22" s="12" t="str">
        <f>IF(OR(WEEKDAY(Tabla15[[#This Row],[Fecha]],2)=6,WEEKDAY(Tabla15[[#This Row],[Fecha]],2)=7),"Fin de semana","Semana")</f>
        <v>Semana</v>
      </c>
    </row>
    <row r="23" spans="1:14" ht="12.75" customHeight="1" x14ac:dyDescent="0.25">
      <c r="A23" s="11" t="str">
        <f>_xlfn.XLOOKUP(Tabla15[[#This Row],[GPS]],Hoja3!A:A,Hoja3!B:B)</f>
        <v>TRACTOR</v>
      </c>
      <c r="B23" s="11" t="str">
        <f>_xlfn.XLOOKUP(GPS!D23,Hoja3!A:A,Hoja3!D:D)</f>
        <v>PETRÓLEO</v>
      </c>
      <c r="C23" s="12" t="str">
        <f>_xlfn.XLOOKUP(Tabla15[[#This Row],[GPS]],Hoja3!A:A,Hoja3!C:C)</f>
        <v>T4</v>
      </c>
      <c r="D23" s="12" t="s">
        <v>23</v>
      </c>
      <c r="E23" s="13">
        <v>46108</v>
      </c>
      <c r="F23" s="11">
        <v>6.8468999999999998</v>
      </c>
      <c r="G23" s="11">
        <v>55.43</v>
      </c>
      <c r="H23" s="11">
        <v>1</v>
      </c>
      <c r="I23" s="11">
        <v>9.7936999999999994</v>
      </c>
      <c r="J23" s="11">
        <v>35.021299999999997</v>
      </c>
      <c r="K23" s="11">
        <v>0.86</v>
      </c>
      <c r="L23" s="15">
        <f t="shared" si="0"/>
        <v>9.2383333333333333</v>
      </c>
      <c r="M23" s="14">
        <f>IF(Tabla15[[#This Row],[COMBUSTIBLE]]="PETRÓLEO",L23*$Q$2,L23*$Q$4)</f>
        <v>11095.238333333333</v>
      </c>
      <c r="N23" s="12" t="str">
        <f>IF(OR(WEEKDAY(Tabla15[[#This Row],[Fecha]],2)=6,WEEKDAY(Tabla15[[#This Row],[Fecha]],2)=7),"Fin de semana","Semana")</f>
        <v>Semana</v>
      </c>
    </row>
    <row r="24" spans="1:14" ht="12.75" customHeight="1" x14ac:dyDescent="0.25">
      <c r="A24" s="11" t="str">
        <f>_xlfn.XLOOKUP(Tabla15[[#This Row],[GPS]],Hoja3!A:A,Hoja3!B:B)</f>
        <v>TRACTOR</v>
      </c>
      <c r="B24" s="11" t="str">
        <f>_xlfn.XLOOKUP(GPS!D24,Hoja3!A:A,Hoja3!D:D)</f>
        <v>PETRÓLEO</v>
      </c>
      <c r="C24" s="12" t="str">
        <f>_xlfn.XLOOKUP(Tabla15[[#This Row],[GPS]],Hoja3!A:A,Hoja3!C:C)</f>
        <v>TA02</v>
      </c>
      <c r="D24" s="12" t="s">
        <v>30</v>
      </c>
      <c r="E24" s="13">
        <v>46108</v>
      </c>
      <c r="F24" s="11">
        <v>6.5128000000000004</v>
      </c>
      <c r="G24" s="11">
        <v>25.34</v>
      </c>
      <c r="H24" s="11">
        <v>1</v>
      </c>
      <c r="I24" s="11">
        <v>5.6759000000000004</v>
      </c>
      <c r="J24" s="11">
        <v>46.151800000000001</v>
      </c>
      <c r="K24" s="11">
        <v>0.81</v>
      </c>
      <c r="L24" s="15">
        <f t="shared" si="0"/>
        <v>4.2233333333333336</v>
      </c>
      <c r="M24" s="14">
        <f>IF(Tabla15[[#This Row],[COMBUSTIBLE]]="PETRÓLEO",L24*$Q$2,L24*$Q$4)</f>
        <v>5072.2233333333334</v>
      </c>
      <c r="N24" s="12" t="str">
        <f>IF(OR(WEEKDAY(Tabla15[[#This Row],[Fecha]],2)=6,WEEKDAY(Tabla15[[#This Row],[Fecha]],2)=7),"Fin de semana","Semana")</f>
        <v>Semana</v>
      </c>
    </row>
    <row r="25" spans="1:14" ht="12.75" customHeight="1" x14ac:dyDescent="0.25">
      <c r="A25" s="11" t="str">
        <f>_xlfn.XLOOKUP(Tabla15[[#This Row],[GPS]],Hoja3!A:A,Hoja3!B:B)</f>
        <v>TRACTOR</v>
      </c>
      <c r="B25" s="11" t="str">
        <f>_xlfn.XLOOKUP(GPS!D25,Hoja3!A:A,Hoja3!D:D)</f>
        <v>PETRÓLEO</v>
      </c>
      <c r="C25" s="12" t="str">
        <f>_xlfn.XLOOKUP(Tabla15[[#This Row],[GPS]],Hoja3!A:A,Hoja3!C:C)</f>
        <v>TA01</v>
      </c>
      <c r="D25" s="12" t="s">
        <v>29</v>
      </c>
      <c r="E25" s="13">
        <v>46108</v>
      </c>
      <c r="F25" s="11">
        <v>6.1142000000000003</v>
      </c>
      <c r="G25" s="11">
        <v>25.13</v>
      </c>
      <c r="H25" s="11">
        <v>1</v>
      </c>
      <c r="I25" s="11">
        <v>5.7241</v>
      </c>
      <c r="J25" s="11">
        <v>38.854999999999997</v>
      </c>
      <c r="K25" s="11">
        <v>0.76</v>
      </c>
      <c r="L25" s="15">
        <f t="shared" si="0"/>
        <v>4.1883333333333335</v>
      </c>
      <c r="M25" s="14">
        <f>IF(Tabla15[[#This Row],[COMBUSTIBLE]]="PETRÓLEO",L25*$Q$2,L25*$Q$4)</f>
        <v>5030.1883333333335</v>
      </c>
      <c r="N25" s="12" t="str">
        <f>IF(OR(WEEKDAY(Tabla15[[#This Row],[Fecha]],2)=6,WEEKDAY(Tabla15[[#This Row],[Fecha]],2)=7),"Fin de semana","Semana")</f>
        <v>Semana</v>
      </c>
    </row>
    <row r="26" spans="1:14" ht="12.75" customHeight="1" x14ac:dyDescent="0.25">
      <c r="A26" s="11" t="str">
        <f>_xlfn.XLOOKUP(Tabla15[[#This Row],[GPS]],Hoja3!A:A,Hoja3!B:B)</f>
        <v>CAMIONETA</v>
      </c>
      <c r="B26" s="11" t="str">
        <f>_xlfn.XLOOKUP(GPS!D26,Hoja3!A:A,Hoja3!D:D)</f>
        <v>PETRÓLEO</v>
      </c>
      <c r="C26" s="12" t="str">
        <f>_xlfn.XLOOKUP(Tabla15[[#This Row],[GPS]],Hoja3!A:A,Hoja3!C:C)</f>
        <v>CAMPO CERRILLOS</v>
      </c>
      <c r="D26" s="12" t="s">
        <v>121</v>
      </c>
      <c r="E26" s="13">
        <v>46108</v>
      </c>
      <c r="F26" s="11">
        <v>5.7374999999999998</v>
      </c>
      <c r="G26" s="11">
        <v>42.85</v>
      </c>
      <c r="H26" s="11">
        <v>1</v>
      </c>
      <c r="I26" s="11">
        <v>13.8431</v>
      </c>
      <c r="J26" s="11">
        <v>48.578000000000003</v>
      </c>
      <c r="K26" s="11">
        <v>0.72</v>
      </c>
      <c r="L26" s="15">
        <f t="shared" si="0"/>
        <v>4.7611111111111111</v>
      </c>
      <c r="M26" s="14">
        <f>IF(Tabla15[[#This Row],[COMBUSTIBLE]]="PETRÓLEO",L26*$Q$2,L26*$Q$4)</f>
        <v>5718.094444444444</v>
      </c>
      <c r="N26" s="12" t="str">
        <f>IF(OR(WEEKDAY(Tabla15[[#This Row],[Fecha]],2)=6,WEEKDAY(Tabla15[[#This Row],[Fecha]],2)=7),"Fin de semana","Semana")</f>
        <v>Semana</v>
      </c>
    </row>
    <row r="27" spans="1:14" ht="12.75" customHeight="1" x14ac:dyDescent="0.25">
      <c r="A27" s="11" t="str">
        <f>_xlfn.XLOOKUP(Tabla15[[#This Row],[GPS]],Hoja3!A:A,Hoja3!B:B)</f>
        <v>TRACTOR</v>
      </c>
      <c r="B27" s="11" t="str">
        <f>_xlfn.XLOOKUP(GPS!D27,Hoja3!A:A,Hoja3!D:D)</f>
        <v>PETRÓLEO</v>
      </c>
      <c r="C27" s="12" t="str">
        <f>_xlfn.XLOOKUP(Tabla15[[#This Row],[GPS]],Hoja3!A:A,Hoja3!C:C)</f>
        <v>T13</v>
      </c>
      <c r="D27" s="12" t="s">
        <v>19</v>
      </c>
      <c r="E27" s="13">
        <v>46108</v>
      </c>
      <c r="F27" s="11">
        <v>4.2413999999999996</v>
      </c>
      <c r="G27" s="11">
        <v>15.8</v>
      </c>
      <c r="H27" s="11">
        <v>1</v>
      </c>
      <c r="I27" s="11">
        <v>6.1878000000000002</v>
      </c>
      <c r="J27" s="11">
        <v>19.168199999999999</v>
      </c>
      <c r="K27" s="11">
        <v>0.53</v>
      </c>
      <c r="L27" s="15">
        <f t="shared" si="0"/>
        <v>2.6333333333333333</v>
      </c>
      <c r="M27" s="14">
        <f>IF(Tabla15[[#This Row],[COMBUSTIBLE]]="PETRÓLEO",L27*$Q$2,L27*$Q$4)</f>
        <v>3162.6333333333332</v>
      </c>
      <c r="N27" s="12" t="str">
        <f>IF(OR(WEEKDAY(Tabla15[[#This Row],[Fecha]],2)=6,WEEKDAY(Tabla15[[#This Row],[Fecha]],2)=7),"Fin de semana","Semana")</f>
        <v>Semana</v>
      </c>
    </row>
    <row r="28" spans="1:14" ht="12.75" customHeight="1" x14ac:dyDescent="0.25">
      <c r="A28" s="11" t="str">
        <f>_xlfn.XLOOKUP(Tabla15[[#This Row],[GPS]],Hoja3!A:A,Hoja3!B:B)</f>
        <v>TRACTOR</v>
      </c>
      <c r="B28" s="11" t="str">
        <f>_xlfn.XLOOKUP(GPS!D28,Hoja3!A:A,Hoja3!D:D)</f>
        <v>PETRÓLEO</v>
      </c>
      <c r="C28" s="12" t="str">
        <f>_xlfn.XLOOKUP(Tabla15[[#This Row],[GPS]],Hoja3!A:A,Hoja3!C:C)</f>
        <v>T10</v>
      </c>
      <c r="D28" s="12" t="s">
        <v>14</v>
      </c>
      <c r="E28" s="13">
        <v>46108</v>
      </c>
      <c r="F28" s="11">
        <v>4.0289000000000001</v>
      </c>
      <c r="G28" s="11">
        <v>18.97</v>
      </c>
      <c r="H28" s="11">
        <v>1</v>
      </c>
      <c r="I28" s="11">
        <v>6.2870999999999997</v>
      </c>
      <c r="J28" s="11">
        <v>27.057700000000001</v>
      </c>
      <c r="K28" s="11">
        <v>0.5</v>
      </c>
      <c r="L28" s="15">
        <f t="shared" si="0"/>
        <v>3.1616666666666666</v>
      </c>
      <c r="M28" s="14">
        <f>IF(Tabla15[[#This Row],[COMBUSTIBLE]]="PETRÓLEO",L28*$Q$2,L28*$Q$4)</f>
        <v>3797.1616666666664</v>
      </c>
      <c r="N28" s="12" t="str">
        <f>IF(OR(WEEKDAY(Tabla15[[#This Row],[Fecha]],2)=6,WEEKDAY(Tabla15[[#This Row],[Fecha]],2)=7),"Fin de semana","Semana")</f>
        <v>Semana</v>
      </c>
    </row>
    <row r="29" spans="1:14" ht="12.75" customHeight="1" x14ac:dyDescent="0.25">
      <c r="A29" s="11" t="str">
        <f>_xlfn.XLOOKUP(Tabla15[[#This Row],[GPS]],Hoja3!A:A,Hoja3!B:B)</f>
        <v>TRACTOR</v>
      </c>
      <c r="B29" s="11" t="str">
        <f>_xlfn.XLOOKUP(GPS!D29,Hoja3!A:A,Hoja3!D:D)</f>
        <v>PETRÓLEO</v>
      </c>
      <c r="C29" s="12" t="str">
        <f>_xlfn.XLOOKUP(Tabla15[[#This Row],[GPS]],Hoja3!A:A,Hoja3!C:C)</f>
        <v>T7</v>
      </c>
      <c r="D29" s="12" t="s">
        <v>26</v>
      </c>
      <c r="E29" s="13">
        <v>46108</v>
      </c>
      <c r="F29" s="11">
        <v>4.0117000000000003</v>
      </c>
      <c r="G29" s="11">
        <v>12.51</v>
      </c>
      <c r="H29" s="11">
        <v>1</v>
      </c>
      <c r="I29" s="11">
        <v>6.9625000000000004</v>
      </c>
      <c r="J29" s="11">
        <v>33.999899999999997</v>
      </c>
      <c r="K29" s="11">
        <v>0.5</v>
      </c>
      <c r="L29" s="15">
        <f t="shared" si="0"/>
        <v>2.085</v>
      </c>
      <c r="M29" s="14">
        <f>IF(Tabla15[[#This Row],[COMBUSTIBLE]]="PETRÓLEO",L29*$Q$2,L29*$Q$4)</f>
        <v>2504.085</v>
      </c>
      <c r="N29" s="12" t="str">
        <f>IF(OR(WEEKDAY(Tabla15[[#This Row],[Fecha]],2)=6,WEEKDAY(Tabla15[[#This Row],[Fecha]],2)=7),"Fin de semana","Semana")</f>
        <v>Semana</v>
      </c>
    </row>
    <row r="30" spans="1:14" ht="12.75" customHeight="1" x14ac:dyDescent="0.25">
      <c r="A30" s="11" t="str">
        <f>_xlfn.XLOOKUP(Tabla15[[#This Row],[GPS]],Hoja3!A:A,Hoja3!B:B)</f>
        <v>TRACTOR</v>
      </c>
      <c r="B30" s="11" t="str">
        <f>_xlfn.XLOOKUP(GPS!D30,Hoja3!A:A,Hoja3!D:D)</f>
        <v>PETRÓLEO</v>
      </c>
      <c r="C30" s="12" t="str">
        <f>_xlfn.XLOOKUP(Tabla15[[#This Row],[GPS]],Hoja3!A:A,Hoja3!C:C)</f>
        <v>T6</v>
      </c>
      <c r="D30" s="12" t="s">
        <v>25</v>
      </c>
      <c r="E30" s="13">
        <v>46108</v>
      </c>
      <c r="F30" s="11">
        <v>4.0033000000000003</v>
      </c>
      <c r="G30" s="11">
        <v>24.78</v>
      </c>
      <c r="H30" s="11">
        <v>1</v>
      </c>
      <c r="I30" s="11">
        <v>9.4738000000000007</v>
      </c>
      <c r="J30" s="11">
        <v>129.4178</v>
      </c>
      <c r="K30" s="11">
        <v>0.5</v>
      </c>
      <c r="L30" s="15">
        <f t="shared" si="0"/>
        <v>4.13</v>
      </c>
      <c r="M30" s="14">
        <f>IF(Tabla15[[#This Row],[COMBUSTIBLE]]="PETRÓLEO",L30*$Q$2,L30*$Q$4)</f>
        <v>4960.13</v>
      </c>
      <c r="N30" s="12" t="str">
        <f>IF(OR(WEEKDAY(Tabla15[[#This Row],[Fecha]],2)=6,WEEKDAY(Tabla15[[#This Row],[Fecha]],2)=7),"Fin de semana","Semana")</f>
        <v>Semana</v>
      </c>
    </row>
    <row r="31" spans="1:14" ht="12.75" customHeight="1" x14ac:dyDescent="0.25">
      <c r="A31" s="11" t="str">
        <f>_xlfn.XLOOKUP(Tabla15[[#This Row],[GPS]],Hoja3!A:A,Hoja3!B:B)</f>
        <v>CAMIONETA</v>
      </c>
      <c r="B31" s="11" t="str">
        <f>_xlfn.XLOOKUP(GPS!D31,Hoja3!A:A,Hoja3!D:D)</f>
        <v>PETRÓLEO</v>
      </c>
      <c r="C31" s="12" t="str">
        <f>_xlfn.XLOOKUP(Tabla15[[#This Row],[GPS]],Hoja3!A:A,Hoja3!C:C)</f>
        <v>CAMPO PAINE</v>
      </c>
      <c r="D31" s="12" t="s">
        <v>131</v>
      </c>
      <c r="E31" s="13">
        <v>46108</v>
      </c>
      <c r="F31" s="11">
        <v>3.9546999999999999</v>
      </c>
      <c r="G31" s="11">
        <v>36.92</v>
      </c>
      <c r="H31" s="11">
        <v>1</v>
      </c>
      <c r="I31" s="11">
        <v>21.552800000000001</v>
      </c>
      <c r="J31" s="11">
        <v>123.2876</v>
      </c>
      <c r="K31" s="11">
        <v>0.49</v>
      </c>
      <c r="L31" s="15">
        <f t="shared" si="0"/>
        <v>4.1022222222222222</v>
      </c>
      <c r="M31" s="14">
        <f>IF(Tabla15[[#This Row],[COMBUSTIBLE]]="PETRÓLEO",L31*$Q$2,L31*$Q$4)</f>
        <v>4926.7688888888888</v>
      </c>
      <c r="N31" s="12" t="str">
        <f>IF(OR(WEEKDAY(Tabla15[[#This Row],[Fecha]],2)=6,WEEKDAY(Tabla15[[#This Row],[Fecha]],2)=7),"Fin de semana","Semana")</f>
        <v>Semana</v>
      </c>
    </row>
    <row r="32" spans="1:14" ht="12.75" customHeight="1" x14ac:dyDescent="0.25">
      <c r="A32" s="11" t="str">
        <f>_xlfn.XLOOKUP(Tabla15[[#This Row],[GPS]],Hoja3!A:A,Hoja3!B:B)</f>
        <v>CAMIONETA</v>
      </c>
      <c r="B32" s="11" t="str">
        <f>_xlfn.XLOOKUP(GPS!D32,Hoja3!A:A,Hoja3!D:D)</f>
        <v>PETRÓLEO</v>
      </c>
      <c r="C32" s="12" t="str">
        <f>_xlfn.XLOOKUP(Tabla15[[#This Row],[GPS]],Hoja3!A:A,Hoja3!C:C)</f>
        <v>RODRIGO SALINAS</v>
      </c>
      <c r="D32" s="12" t="s">
        <v>109</v>
      </c>
      <c r="E32" s="13">
        <v>46108</v>
      </c>
      <c r="F32" s="11">
        <v>3.7461000000000002</v>
      </c>
      <c r="G32" s="11">
        <v>129.57</v>
      </c>
      <c r="H32" s="11">
        <v>1</v>
      </c>
      <c r="I32" s="11">
        <v>38.273000000000003</v>
      </c>
      <c r="J32" s="11">
        <v>152.73439999999999</v>
      </c>
      <c r="K32" s="11">
        <v>0.47</v>
      </c>
      <c r="L32" s="15">
        <f t="shared" si="0"/>
        <v>14.396666666666667</v>
      </c>
      <c r="M32" s="14">
        <f>IF(Tabla15[[#This Row],[COMBUSTIBLE]]="PETRÓLEO",L32*$Q$2,L32*$Q$4)</f>
        <v>17290.396666666667</v>
      </c>
      <c r="N32" s="12" t="str">
        <f>IF(OR(WEEKDAY(Tabla15[[#This Row],[Fecha]],2)=6,WEEKDAY(Tabla15[[#This Row],[Fecha]],2)=7),"Fin de semana","Semana")</f>
        <v>Semana</v>
      </c>
    </row>
    <row r="33" spans="1:14" ht="12.75" customHeight="1" x14ac:dyDescent="0.25">
      <c r="A33" s="11" t="str">
        <f>_xlfn.XLOOKUP(Tabla15[[#This Row],[GPS]],Hoja3!A:A,Hoja3!B:B)</f>
        <v>TRACTOR</v>
      </c>
      <c r="B33" s="11" t="str">
        <f>_xlfn.XLOOKUP(GPS!D33,Hoja3!A:A,Hoja3!D:D)</f>
        <v>PETRÓLEO</v>
      </c>
      <c r="C33" s="12" t="str">
        <f>_xlfn.XLOOKUP(Tabla15[[#This Row],[GPS]],Hoja3!A:A,Hoja3!C:C)</f>
        <v>T12</v>
      </c>
      <c r="D33" s="12" t="s">
        <v>17</v>
      </c>
      <c r="E33" s="13">
        <v>46108</v>
      </c>
      <c r="F33" s="11">
        <v>3.5428000000000002</v>
      </c>
      <c r="G33" s="11">
        <v>5.25</v>
      </c>
      <c r="H33" s="11">
        <v>1</v>
      </c>
      <c r="I33" s="11">
        <v>3.6701999999999999</v>
      </c>
      <c r="J33" s="11">
        <v>33.595300000000002</v>
      </c>
      <c r="K33" s="11">
        <v>0.44</v>
      </c>
      <c r="L33" s="15">
        <f t="shared" si="0"/>
        <v>0.875</v>
      </c>
      <c r="M33" s="14">
        <f>IF(Tabla15[[#This Row],[COMBUSTIBLE]]="PETRÓLEO",L33*$Q$2,L33*$Q$4)</f>
        <v>1050.875</v>
      </c>
      <c r="N33" s="12" t="str">
        <f>IF(OR(WEEKDAY(Tabla15[[#This Row],[Fecha]],2)=6,WEEKDAY(Tabla15[[#This Row],[Fecha]],2)=7),"Fin de semana","Semana")</f>
        <v>Semana</v>
      </c>
    </row>
    <row r="34" spans="1:14" ht="12.75" customHeight="1" x14ac:dyDescent="0.25">
      <c r="A34" s="11" t="str">
        <f>_xlfn.XLOOKUP(Tabla15[[#This Row],[GPS]],Hoja3!A:A,Hoja3!B:B)</f>
        <v>CAMIONETA</v>
      </c>
      <c r="B34" s="11" t="str">
        <f>_xlfn.XLOOKUP(GPS!D34,Hoja3!A:A,Hoja3!D:D)</f>
        <v>PETRÓLEO</v>
      </c>
      <c r="C34" s="12" t="str">
        <f>_xlfn.XLOOKUP(Tabla15[[#This Row],[GPS]],Hoja3!A:A,Hoja3!C:C)</f>
        <v>CAMPO RULO</v>
      </c>
      <c r="D34" s="12" t="s">
        <v>135</v>
      </c>
      <c r="E34" s="13">
        <v>46108</v>
      </c>
      <c r="F34" s="11">
        <v>3.0238999999999998</v>
      </c>
      <c r="G34" s="11">
        <v>34.159999999999997</v>
      </c>
      <c r="H34" s="11">
        <v>1</v>
      </c>
      <c r="I34" s="11">
        <v>17.284199999999998</v>
      </c>
      <c r="J34" s="11">
        <v>83</v>
      </c>
      <c r="K34" s="11">
        <v>0.38</v>
      </c>
      <c r="L34" s="15">
        <f t="shared" si="0"/>
        <v>3.7955555555555551</v>
      </c>
      <c r="M34" s="14">
        <f>IF(Tabla15[[#This Row],[COMBUSTIBLE]]="PETRÓLEO",L34*$Q$2,L34*$Q$4)</f>
        <v>4558.4622222222215</v>
      </c>
      <c r="N34" s="12" t="str">
        <f>IF(OR(WEEKDAY(Tabla15[[#This Row],[Fecha]],2)=6,WEEKDAY(Tabla15[[#This Row],[Fecha]],2)=7),"Fin de semana","Semana")</f>
        <v>Semana</v>
      </c>
    </row>
    <row r="35" spans="1:14" ht="12.75" customHeight="1" x14ac:dyDescent="0.25">
      <c r="A35" s="11" t="str">
        <f>_xlfn.XLOOKUP(Tabla15[[#This Row],[GPS]],Hoja3!A:A,Hoja3!B:B)</f>
        <v>TRACTOR</v>
      </c>
      <c r="B35" s="11" t="str">
        <f>_xlfn.XLOOKUP(GPS!D35,Hoja3!A:A,Hoja3!D:D)</f>
        <v>PETRÓLEO</v>
      </c>
      <c r="C35" s="12" t="str">
        <f>_xlfn.XLOOKUP(Tabla15[[#This Row],[GPS]],Hoja3!A:A,Hoja3!C:C)</f>
        <v>T5</v>
      </c>
      <c r="D35" s="12" t="s">
        <v>24</v>
      </c>
      <c r="E35" s="13">
        <v>46108</v>
      </c>
      <c r="F35" s="11">
        <v>2.7505999999999999</v>
      </c>
      <c r="G35" s="11">
        <v>16.64</v>
      </c>
      <c r="H35" s="11">
        <v>1</v>
      </c>
      <c r="I35" s="11">
        <v>8.6948000000000008</v>
      </c>
      <c r="J35" s="11">
        <v>32.687800000000003</v>
      </c>
      <c r="K35" s="11">
        <v>0.34</v>
      </c>
      <c r="L35" s="15">
        <f t="shared" si="0"/>
        <v>2.7733333333333334</v>
      </c>
      <c r="M35" s="14">
        <f>IF(Tabla15[[#This Row],[COMBUSTIBLE]]="PETRÓLEO",L35*$Q$2,L35*$Q$4)</f>
        <v>3330.7733333333335</v>
      </c>
      <c r="N35" s="12" t="str">
        <f>IF(OR(WEEKDAY(Tabla15[[#This Row],[Fecha]],2)=6,WEEKDAY(Tabla15[[#This Row],[Fecha]],2)=7),"Fin de semana","Semana")</f>
        <v>Semana</v>
      </c>
    </row>
    <row r="36" spans="1:14" ht="12.75" customHeight="1" x14ac:dyDescent="0.25">
      <c r="A36" s="11" t="str">
        <f>_xlfn.XLOOKUP(Tabla15[[#This Row],[GPS]],Hoja3!A:A,Hoja3!B:B)</f>
        <v>CAMIONETA</v>
      </c>
      <c r="B36" s="11" t="str">
        <f>_xlfn.XLOOKUP(GPS!D36,Hoja3!A:A,Hoja3!D:D)</f>
        <v>PETRÓLEO</v>
      </c>
      <c r="C36" s="12" t="str">
        <f>_xlfn.XLOOKUP(Tabla15[[#This Row],[GPS]],Hoja3!A:A,Hoja3!C:C)</f>
        <v>GONZALO GUERRERO</v>
      </c>
      <c r="D36" s="12" t="s">
        <v>126</v>
      </c>
      <c r="E36" s="13">
        <v>46108</v>
      </c>
      <c r="F36" s="11">
        <v>0.9597</v>
      </c>
      <c r="G36" s="11">
        <v>18.88</v>
      </c>
      <c r="H36" s="11">
        <v>1</v>
      </c>
      <c r="I36" s="11">
        <v>28.491900000000001</v>
      </c>
      <c r="J36" s="11">
        <v>134</v>
      </c>
      <c r="K36" s="11">
        <v>0.12</v>
      </c>
      <c r="L36" s="15">
        <f t="shared" si="0"/>
        <v>2.0977777777777775</v>
      </c>
      <c r="M36" s="14">
        <f>IF(Tabla15[[#This Row],[COMBUSTIBLE]]="PETRÓLEO",L36*$Q$2,L36*$Q$4)</f>
        <v>2519.431111111111</v>
      </c>
      <c r="N36" s="12" t="str">
        <f>IF(OR(WEEKDAY(Tabla15[[#This Row],[Fecha]],2)=6,WEEKDAY(Tabla15[[#This Row],[Fecha]],2)=7),"Fin de semana","Semana")</f>
        <v>Semana</v>
      </c>
    </row>
    <row r="37" spans="1:14" ht="12.75" customHeight="1" x14ac:dyDescent="0.25">
      <c r="A37" s="11" t="str">
        <f>_xlfn.XLOOKUP(Tabla15[[#This Row],[GPS]],Hoja3!A:A,Hoja3!B:B)</f>
        <v>CAMIONETA</v>
      </c>
      <c r="B37" s="11" t="str">
        <f>_xlfn.XLOOKUP(GPS!D37,Hoja3!A:A,Hoja3!D:D)</f>
        <v>BENCINA</v>
      </c>
      <c r="C37" s="12" t="str">
        <f>_xlfn.XLOOKUP(Tabla15[[#This Row],[GPS]],Hoja3!A:A,Hoja3!C:C)</f>
        <v>VG PIÑALEO</v>
      </c>
      <c r="D37" s="12" t="s">
        <v>114</v>
      </c>
      <c r="E37" s="13">
        <v>46108</v>
      </c>
      <c r="F37" s="11">
        <v>0</v>
      </c>
      <c r="G37" s="11">
        <v>73.150000000000006</v>
      </c>
      <c r="H37" s="11">
        <v>1</v>
      </c>
      <c r="I37" s="11">
        <v>32.992800000000003</v>
      </c>
      <c r="J37" s="11">
        <v>112.0001</v>
      </c>
      <c r="K37" s="11">
        <v>0</v>
      </c>
      <c r="L37" s="15">
        <f t="shared" si="0"/>
        <v>6.65</v>
      </c>
      <c r="M37" s="14">
        <f>IF(Tabla15[[#This Row],[COMBUSTIBLE]]="PETRÓLEO",L37*$Q$2,L37*$Q$4)</f>
        <v>10307.5</v>
      </c>
      <c r="N37" s="12" t="str">
        <f>IF(OR(WEEKDAY(Tabla15[[#This Row],[Fecha]],2)=6,WEEKDAY(Tabla15[[#This Row],[Fecha]],2)=7),"Fin de semana","Semana")</f>
        <v>Semana</v>
      </c>
    </row>
    <row r="38" spans="1:14" ht="12.75" customHeight="1" x14ac:dyDescent="0.25">
      <c r="A38" s="11" t="str">
        <f>_xlfn.XLOOKUP(Tabla15[[#This Row],[GPS]],Hoja3!A:A,Hoja3!B:B)</f>
        <v>CAMIONETA</v>
      </c>
      <c r="B38" s="11" t="str">
        <f>_xlfn.XLOOKUP(GPS!D38,Hoja3!A:A,Hoja3!D:D)</f>
        <v>BENCINA</v>
      </c>
      <c r="C38" s="12" t="str">
        <f>_xlfn.XLOOKUP(Tabla15[[#This Row],[GPS]],Hoja3!A:A,Hoja3!C:C)</f>
        <v>VG GERARDO</v>
      </c>
      <c r="D38" s="12" t="s">
        <v>118</v>
      </c>
      <c r="E38" s="13">
        <v>46108</v>
      </c>
      <c r="F38" s="11">
        <v>0</v>
      </c>
      <c r="G38" s="11">
        <v>99.19</v>
      </c>
      <c r="H38" s="11">
        <v>1</v>
      </c>
      <c r="I38" s="11">
        <v>27.654399999999999</v>
      </c>
      <c r="J38" s="11">
        <v>84.999899999999997</v>
      </c>
      <c r="K38" s="11">
        <v>0</v>
      </c>
      <c r="L38" s="15">
        <f t="shared" si="0"/>
        <v>9.0172727272727276</v>
      </c>
      <c r="M38" s="14">
        <f>IF(Tabla15[[#This Row],[COMBUSTIBLE]]="PETRÓLEO",L38*$Q$2,L38*$Q$4)</f>
        <v>13976.772727272728</v>
      </c>
      <c r="N38" s="12" t="str">
        <f>IF(OR(WEEKDAY(Tabla15[[#This Row],[Fecha]],2)=6,WEEKDAY(Tabla15[[#This Row],[Fecha]],2)=7),"Fin de semana","Semana")</f>
        <v>Semana</v>
      </c>
    </row>
    <row r="39" spans="1:14" ht="12.75" customHeight="1" x14ac:dyDescent="0.25">
      <c r="A39" s="11" t="str">
        <f>_xlfn.XLOOKUP(Tabla15[[#This Row],[GPS]],Hoja3!A:A,Hoja3!B:B)</f>
        <v>CAMIONETA</v>
      </c>
      <c r="B39" s="11" t="str">
        <f>_xlfn.XLOOKUP(GPS!D39,Hoja3!A:A,Hoja3!D:D)</f>
        <v>BENCINA</v>
      </c>
      <c r="C39" s="12" t="str">
        <f>_xlfn.XLOOKUP(Tabla15[[#This Row],[GPS]],Hoja3!A:A,Hoja3!C:C)</f>
        <v>VG CERRILLOS</v>
      </c>
      <c r="D39" s="12" t="s">
        <v>137</v>
      </c>
      <c r="E39" s="13">
        <v>46108</v>
      </c>
      <c r="F39" s="11">
        <v>0</v>
      </c>
      <c r="G39" s="11">
        <v>49.25</v>
      </c>
      <c r="H39" s="11">
        <v>1</v>
      </c>
      <c r="I39" s="11">
        <v>19.160900000000002</v>
      </c>
      <c r="J39" s="11">
        <v>73.468800000000002</v>
      </c>
      <c r="K39" s="11">
        <v>0</v>
      </c>
      <c r="L39" s="15">
        <f t="shared" si="0"/>
        <v>4.4772727272727275</v>
      </c>
      <c r="M39" s="14">
        <f>IF(Tabla15[[#This Row],[COMBUSTIBLE]]="PETRÓLEO",L39*$Q$2,L39*$Q$4)</f>
        <v>6939.7727272727279</v>
      </c>
      <c r="N39" s="12" t="str">
        <f>IF(OR(WEEKDAY(Tabla15[[#This Row],[Fecha]],2)=6,WEEKDAY(Tabla15[[#This Row],[Fecha]],2)=7),"Fin de semana","Semana")</f>
        <v>Semana</v>
      </c>
    </row>
    <row r="40" spans="1:14" ht="12.75" customHeight="1" x14ac:dyDescent="0.25">
      <c r="A40" s="11" t="str">
        <f>_xlfn.XLOOKUP(Tabla15[[#This Row],[GPS]],Hoja3!A:A,Hoja3!B:B)</f>
        <v>CAMIONETA</v>
      </c>
      <c r="B40" s="11" t="str">
        <f>_xlfn.XLOOKUP(GPS!D40,Hoja3!A:A,Hoja3!D:D)</f>
        <v>PETRÓLEO</v>
      </c>
      <c r="C40" s="12" t="str">
        <f>_xlfn.XLOOKUP(Tabla15[[#This Row],[GPS]],Hoja3!A:A,Hoja3!C:C)</f>
        <v>SERGIO ROJAS</v>
      </c>
      <c r="D40" s="12" t="s">
        <v>128</v>
      </c>
      <c r="E40" s="13">
        <v>46108</v>
      </c>
      <c r="F40" s="11">
        <v>0</v>
      </c>
      <c r="G40" s="11">
        <v>61.52</v>
      </c>
      <c r="H40" s="11">
        <v>1</v>
      </c>
      <c r="I40" s="11">
        <v>27.673100000000002</v>
      </c>
      <c r="J40" s="11">
        <v>94.000100000000003</v>
      </c>
      <c r="K40" s="11">
        <v>0</v>
      </c>
      <c r="L40" s="15">
        <f t="shared" si="0"/>
        <v>6.8355555555555556</v>
      </c>
      <c r="M40" s="14">
        <f>IF(Tabla15[[#This Row],[COMBUSTIBLE]]="PETRÓLEO",L40*$Q$2,L40*$Q$4)</f>
        <v>8209.5022222222215</v>
      </c>
      <c r="N40" s="12" t="str">
        <f>IF(OR(WEEKDAY(Tabla15[[#This Row],[Fecha]],2)=6,WEEKDAY(Tabla15[[#This Row],[Fecha]],2)=7),"Fin de semana","Semana")</f>
        <v>Semana</v>
      </c>
    </row>
    <row r="41" spans="1:14" ht="12.75" customHeight="1" x14ac:dyDescent="0.25">
      <c r="A41" s="11" t="str">
        <f>_xlfn.XLOOKUP(Tabla15[[#This Row],[GPS]],Hoja3!A:A,Hoja3!B:B)</f>
        <v>TRACTOR</v>
      </c>
      <c r="B41" s="11" t="str">
        <f>_xlfn.XLOOKUP(GPS!D41,Hoja3!A:A,Hoja3!D:D)</f>
        <v>PETRÓLEO</v>
      </c>
      <c r="C41" s="12" t="str">
        <f>_xlfn.XLOOKUP(Tabla15[[#This Row],[GPS]],Hoja3!A:A,Hoja3!C:C)</f>
        <v>T13</v>
      </c>
      <c r="D41" s="12" t="s">
        <v>19</v>
      </c>
      <c r="E41" s="13">
        <v>46112</v>
      </c>
      <c r="F41" s="11">
        <v>12.9053</v>
      </c>
      <c r="G41" s="11">
        <v>52.16</v>
      </c>
      <c r="H41" s="11">
        <v>1</v>
      </c>
      <c r="I41" s="11">
        <v>5.6374000000000004</v>
      </c>
      <c r="J41" s="11">
        <v>58.764000000000003</v>
      </c>
      <c r="K41" s="11">
        <v>1.61</v>
      </c>
      <c r="L41" s="15">
        <f t="shared" si="0"/>
        <v>8.6933333333333334</v>
      </c>
      <c r="M41" s="14">
        <f>IF(Tabla15[[#This Row],[COMBUSTIBLE]]="PETRÓLEO",L41*$Q$2,L41*$Q$4)</f>
        <v>10440.693333333333</v>
      </c>
      <c r="N41" s="12" t="str">
        <f>IF(OR(WEEKDAY(Tabla15[[#This Row],[Fecha]],2)=6,WEEKDAY(Tabla15[[#This Row],[Fecha]],2)=7),"Fin de semana","Semana")</f>
        <v>Semana</v>
      </c>
    </row>
    <row r="42" spans="1:14" ht="12.75" customHeight="1" x14ac:dyDescent="0.25">
      <c r="A42" s="11" t="str">
        <f>_xlfn.XLOOKUP(Tabla15[[#This Row],[GPS]],Hoja3!A:A,Hoja3!B:B)</f>
        <v>TRACTOR</v>
      </c>
      <c r="B42" s="11" t="str">
        <f>_xlfn.XLOOKUP(GPS!D42,Hoja3!A:A,Hoja3!D:D)</f>
        <v>PETRÓLEO</v>
      </c>
      <c r="C42" s="12" t="str">
        <f>_xlfn.XLOOKUP(Tabla15[[#This Row],[GPS]],Hoja3!A:A,Hoja3!C:C)</f>
        <v>TA02</v>
      </c>
      <c r="D42" s="12" t="s">
        <v>30</v>
      </c>
      <c r="E42" s="13">
        <v>46112</v>
      </c>
      <c r="F42" s="11">
        <v>9.4328000000000003</v>
      </c>
      <c r="G42" s="11">
        <v>21.46</v>
      </c>
      <c r="H42" s="11">
        <v>1</v>
      </c>
      <c r="I42" s="11">
        <v>5.6353</v>
      </c>
      <c r="J42" s="11">
        <v>29.9283</v>
      </c>
      <c r="K42" s="11">
        <v>1.18</v>
      </c>
      <c r="L42" s="15">
        <f t="shared" si="0"/>
        <v>3.5766666666666667</v>
      </c>
      <c r="M42" s="14">
        <f>IF(Tabla15[[#This Row],[COMBUSTIBLE]]="PETRÓLEO",L42*$Q$2,L42*$Q$4)</f>
        <v>4295.5766666666668</v>
      </c>
      <c r="N42" s="12" t="str">
        <f>IF(OR(WEEKDAY(Tabla15[[#This Row],[Fecha]],2)=6,WEEKDAY(Tabla15[[#This Row],[Fecha]],2)=7),"Fin de semana","Semana")</f>
        <v>Semana</v>
      </c>
    </row>
    <row r="43" spans="1:14" ht="12.75" customHeight="1" x14ac:dyDescent="0.25">
      <c r="A43" s="11" t="str">
        <f>_xlfn.XLOOKUP(Tabla15[[#This Row],[GPS]],Hoja3!A:A,Hoja3!B:B)</f>
        <v>CAMIONETA</v>
      </c>
      <c r="B43" s="11" t="str">
        <f>_xlfn.XLOOKUP(GPS!D43,Hoja3!A:A,Hoja3!D:D)</f>
        <v>PETRÓLEO</v>
      </c>
      <c r="C43" s="12" t="str">
        <f>_xlfn.XLOOKUP(Tabla15[[#This Row],[GPS]],Hoja3!A:A,Hoja3!C:C)</f>
        <v>CAMPO PAINE</v>
      </c>
      <c r="D43" s="12" t="s">
        <v>131</v>
      </c>
      <c r="E43" s="13">
        <v>46112</v>
      </c>
      <c r="F43" s="11">
        <v>7.2527999999999997</v>
      </c>
      <c r="G43" s="11">
        <v>69.569999999999993</v>
      </c>
      <c r="H43" s="11">
        <v>1</v>
      </c>
      <c r="I43" s="11">
        <v>18.553999999999998</v>
      </c>
      <c r="J43" s="11">
        <v>144.7894</v>
      </c>
      <c r="K43" s="11">
        <v>0.91</v>
      </c>
      <c r="L43" s="15">
        <f t="shared" si="0"/>
        <v>7.7299999999999995</v>
      </c>
      <c r="M43" s="14">
        <f>IF(Tabla15[[#This Row],[COMBUSTIBLE]]="PETRÓLEO",L43*$Q$2,L43*$Q$4)</f>
        <v>9283.73</v>
      </c>
      <c r="N43" s="12" t="str">
        <f>IF(OR(WEEKDAY(Tabla15[[#This Row],[Fecha]],2)=6,WEEKDAY(Tabla15[[#This Row],[Fecha]],2)=7),"Fin de semana","Semana")</f>
        <v>Semana</v>
      </c>
    </row>
    <row r="44" spans="1:14" ht="12.75" customHeight="1" x14ac:dyDescent="0.25">
      <c r="A44" s="11" t="str">
        <f>_xlfn.XLOOKUP(Tabla15[[#This Row],[GPS]],Hoja3!A:A,Hoja3!B:B)</f>
        <v>TRACTOR</v>
      </c>
      <c r="B44" s="11" t="str">
        <f>_xlfn.XLOOKUP(GPS!D44,Hoja3!A:A,Hoja3!D:D)</f>
        <v>PETRÓLEO</v>
      </c>
      <c r="C44" s="12" t="str">
        <f>_xlfn.XLOOKUP(Tabla15[[#This Row],[GPS]],Hoja3!A:A,Hoja3!C:C)</f>
        <v>T12</v>
      </c>
      <c r="D44" s="12" t="s">
        <v>17</v>
      </c>
      <c r="E44" s="13">
        <v>46112</v>
      </c>
      <c r="F44" s="11">
        <v>6.2074999999999996</v>
      </c>
      <c r="G44" s="11">
        <v>7.53</v>
      </c>
      <c r="H44" s="11">
        <v>1</v>
      </c>
      <c r="I44" s="11">
        <v>3.0962999999999998</v>
      </c>
      <c r="J44" s="11">
        <v>21.409099999999999</v>
      </c>
      <c r="K44" s="11">
        <v>0.78</v>
      </c>
      <c r="L44" s="15">
        <f t="shared" si="0"/>
        <v>1.2550000000000001</v>
      </c>
      <c r="M44" s="14">
        <f>IF(Tabla15[[#This Row],[COMBUSTIBLE]]="PETRÓLEO",L44*$Q$2,L44*$Q$4)</f>
        <v>1507.2550000000001</v>
      </c>
      <c r="N44" s="12" t="str">
        <f>IF(OR(WEEKDAY(Tabla15[[#This Row],[Fecha]],2)=6,WEEKDAY(Tabla15[[#This Row],[Fecha]],2)=7),"Fin de semana","Semana")</f>
        <v>Semana</v>
      </c>
    </row>
    <row r="45" spans="1:14" ht="12.75" customHeight="1" x14ac:dyDescent="0.25">
      <c r="A45" s="11" t="str">
        <f>_xlfn.XLOOKUP(Tabla15[[#This Row],[GPS]],Hoja3!A:A,Hoja3!B:B)</f>
        <v>CAMIONETA</v>
      </c>
      <c r="B45" s="11" t="str">
        <f>_xlfn.XLOOKUP(GPS!D45,Hoja3!A:A,Hoja3!D:D)</f>
        <v>PETRÓLEO</v>
      </c>
      <c r="C45" s="12" t="str">
        <f>_xlfn.XLOOKUP(Tabla15[[#This Row],[GPS]],Hoja3!A:A,Hoja3!C:C)</f>
        <v>CAMPO CERRILLOS</v>
      </c>
      <c r="D45" s="12" t="s">
        <v>121</v>
      </c>
      <c r="E45" s="13">
        <v>46112</v>
      </c>
      <c r="F45" s="11">
        <v>5.9164000000000003</v>
      </c>
      <c r="G45" s="11">
        <v>48.67</v>
      </c>
      <c r="H45" s="11">
        <v>1</v>
      </c>
      <c r="I45" s="11">
        <v>13.978</v>
      </c>
      <c r="J45" s="11">
        <v>67.375799999999998</v>
      </c>
      <c r="K45" s="11">
        <v>0.74</v>
      </c>
      <c r="L45" s="15">
        <f t="shared" si="0"/>
        <v>5.4077777777777776</v>
      </c>
      <c r="M45" s="14">
        <f>IF(Tabla15[[#This Row],[COMBUSTIBLE]]="PETRÓLEO",L45*$Q$2,L45*$Q$4)</f>
        <v>6494.7411111111105</v>
      </c>
      <c r="N45" s="12" t="str">
        <f>IF(OR(WEEKDAY(Tabla15[[#This Row],[Fecha]],2)=6,WEEKDAY(Tabla15[[#This Row],[Fecha]],2)=7),"Fin de semana","Semana")</f>
        <v>Semana</v>
      </c>
    </row>
    <row r="46" spans="1:14" ht="12.75" customHeight="1" x14ac:dyDescent="0.25">
      <c r="A46" s="11" t="str">
        <f>_xlfn.XLOOKUP(Tabla15[[#This Row],[GPS]],Hoja3!A:A,Hoja3!B:B)</f>
        <v>CAMIONETA</v>
      </c>
      <c r="B46" s="11" t="str">
        <f>_xlfn.XLOOKUP(GPS!D46,Hoja3!A:A,Hoja3!D:D)</f>
        <v>PETRÓLEO</v>
      </c>
      <c r="C46" s="12" t="str">
        <f>_xlfn.XLOOKUP(Tabla15[[#This Row],[GPS]],Hoja3!A:A,Hoja3!C:C)</f>
        <v>RODRIGO SALINAS</v>
      </c>
      <c r="D46" s="12" t="s">
        <v>109</v>
      </c>
      <c r="E46" s="13">
        <v>46112</v>
      </c>
      <c r="F46" s="11">
        <v>5.4185999999999996</v>
      </c>
      <c r="G46" s="11">
        <v>162.66</v>
      </c>
      <c r="H46" s="11">
        <v>1</v>
      </c>
      <c r="I46" s="11">
        <v>36.229100000000003</v>
      </c>
      <c r="J46" s="11">
        <v>144</v>
      </c>
      <c r="K46" s="11">
        <v>0.68</v>
      </c>
      <c r="L46" s="15">
        <f t="shared" si="0"/>
        <v>18.073333333333334</v>
      </c>
      <c r="M46" s="14">
        <f>IF(Tabla15[[#This Row],[COMBUSTIBLE]]="PETRÓLEO",L46*$Q$2,L46*$Q$4)</f>
        <v>21706.073333333334</v>
      </c>
      <c r="N46" s="12" t="str">
        <f>IF(OR(WEEKDAY(Tabla15[[#This Row],[Fecha]],2)=6,WEEKDAY(Tabla15[[#This Row],[Fecha]],2)=7),"Fin de semana","Semana")</f>
        <v>Semana</v>
      </c>
    </row>
    <row r="47" spans="1:14" ht="12.75" customHeight="1" x14ac:dyDescent="0.25">
      <c r="A47" s="11" t="str">
        <f>_xlfn.XLOOKUP(Tabla15[[#This Row],[GPS]],Hoja3!A:A,Hoja3!B:B)</f>
        <v>TRACTOR</v>
      </c>
      <c r="B47" s="11" t="str">
        <f>_xlfn.XLOOKUP(GPS!D47,Hoja3!A:A,Hoja3!D:D)</f>
        <v>PETRÓLEO</v>
      </c>
      <c r="C47" s="12" t="str">
        <f>_xlfn.XLOOKUP(Tabla15[[#This Row],[GPS]],Hoja3!A:A,Hoja3!C:C)</f>
        <v>TA01</v>
      </c>
      <c r="D47" s="12" t="s">
        <v>29</v>
      </c>
      <c r="E47" s="13">
        <v>46112</v>
      </c>
      <c r="F47" s="11">
        <v>4.9606000000000003</v>
      </c>
      <c r="G47" s="11">
        <v>18.62</v>
      </c>
      <c r="H47" s="11">
        <v>1</v>
      </c>
      <c r="I47" s="11">
        <v>5.8715999999999999</v>
      </c>
      <c r="J47" s="11">
        <v>82.951099999999997</v>
      </c>
      <c r="K47" s="11">
        <v>0.62</v>
      </c>
      <c r="L47" s="15">
        <f t="shared" si="0"/>
        <v>3.1033333333333335</v>
      </c>
      <c r="M47" s="14">
        <f>IF(Tabla15[[#This Row],[COMBUSTIBLE]]="PETRÓLEO",L47*$Q$2,L47*$Q$4)</f>
        <v>3727.1033333333335</v>
      </c>
      <c r="N47" s="12" t="str">
        <f>IF(OR(WEEKDAY(Tabla15[[#This Row],[Fecha]],2)=6,WEEKDAY(Tabla15[[#This Row],[Fecha]],2)=7),"Fin de semana","Semana")</f>
        <v>Semana</v>
      </c>
    </row>
    <row r="48" spans="1:14" ht="12.75" customHeight="1" x14ac:dyDescent="0.25">
      <c r="A48" s="11" t="str">
        <f>_xlfn.XLOOKUP(Tabla15[[#This Row],[GPS]],Hoja3!A:A,Hoja3!B:B)</f>
        <v>TRACTOR</v>
      </c>
      <c r="B48" s="11" t="str">
        <f>_xlfn.XLOOKUP(GPS!D48,Hoja3!A:A,Hoja3!D:D)</f>
        <v>PETRÓLEO</v>
      </c>
      <c r="C48" s="12" t="str">
        <f>_xlfn.XLOOKUP(Tabla15[[#This Row],[GPS]],Hoja3!A:A,Hoja3!C:C)</f>
        <v>T6</v>
      </c>
      <c r="D48" s="12" t="s">
        <v>25</v>
      </c>
      <c r="E48" s="13">
        <v>46112</v>
      </c>
      <c r="F48" s="11">
        <v>4.1486000000000001</v>
      </c>
      <c r="G48" s="11">
        <v>14.1</v>
      </c>
      <c r="H48" s="11">
        <v>1</v>
      </c>
      <c r="I48" s="11">
        <v>6.4672999999999998</v>
      </c>
      <c r="J48" s="11">
        <v>66.431200000000004</v>
      </c>
      <c r="K48" s="11">
        <v>0.52</v>
      </c>
      <c r="L48" s="15">
        <f t="shared" si="0"/>
        <v>2.35</v>
      </c>
      <c r="M48" s="14">
        <f>IF(Tabla15[[#This Row],[COMBUSTIBLE]]="PETRÓLEO",L48*$Q$2,L48*$Q$4)</f>
        <v>2822.35</v>
      </c>
      <c r="N48" s="12" t="str">
        <f>IF(OR(WEEKDAY(Tabla15[[#This Row],[Fecha]],2)=6,WEEKDAY(Tabla15[[#This Row],[Fecha]],2)=7),"Fin de semana","Semana")</f>
        <v>Semana</v>
      </c>
    </row>
    <row r="49" spans="1:14" ht="12.75" customHeight="1" x14ac:dyDescent="0.25">
      <c r="A49" s="11" t="str">
        <f>_xlfn.XLOOKUP(Tabla15[[#This Row],[GPS]],Hoja3!A:A,Hoja3!B:B)</f>
        <v>TRACTOR</v>
      </c>
      <c r="B49" s="11" t="str">
        <f>_xlfn.XLOOKUP(GPS!D49,Hoja3!A:A,Hoja3!D:D)</f>
        <v>PETRÓLEO</v>
      </c>
      <c r="C49" s="12" t="str">
        <f>_xlfn.XLOOKUP(Tabla15[[#This Row],[GPS]],Hoja3!A:A,Hoja3!C:C)</f>
        <v>T7</v>
      </c>
      <c r="D49" s="12" t="s">
        <v>26</v>
      </c>
      <c r="E49" s="13">
        <v>46112</v>
      </c>
      <c r="F49" s="11">
        <v>3.58</v>
      </c>
      <c r="G49" s="11">
        <v>10.94</v>
      </c>
      <c r="H49" s="11">
        <v>1</v>
      </c>
      <c r="I49" s="11">
        <v>6.3061999999999996</v>
      </c>
      <c r="J49" s="11">
        <v>21.1128</v>
      </c>
      <c r="K49" s="11">
        <v>0.45</v>
      </c>
      <c r="L49" s="15">
        <f t="shared" si="0"/>
        <v>1.8233333333333333</v>
      </c>
      <c r="M49" s="14">
        <f>IF(Tabla15[[#This Row],[COMBUSTIBLE]]="PETRÓLEO",L49*$Q$2,L49*$Q$4)</f>
        <v>2189.8233333333333</v>
      </c>
      <c r="N49" s="12" t="str">
        <f>IF(OR(WEEKDAY(Tabla15[[#This Row],[Fecha]],2)=6,WEEKDAY(Tabla15[[#This Row],[Fecha]],2)=7),"Fin de semana","Semana")</f>
        <v>Semana</v>
      </c>
    </row>
    <row r="50" spans="1:14" ht="12.75" customHeight="1" x14ac:dyDescent="0.25">
      <c r="A50" s="11" t="str">
        <f>_xlfn.XLOOKUP(Tabla15[[#This Row],[GPS]],Hoja3!A:A,Hoja3!B:B)</f>
        <v>CAMIONETA</v>
      </c>
      <c r="B50" s="11" t="str">
        <f>_xlfn.XLOOKUP(GPS!D50,Hoja3!A:A,Hoja3!D:D)</f>
        <v>PETRÓLEO</v>
      </c>
      <c r="C50" s="12" t="str">
        <f>_xlfn.XLOOKUP(Tabla15[[#This Row],[GPS]],Hoja3!A:A,Hoja3!C:C)</f>
        <v>CAMPO RULO</v>
      </c>
      <c r="D50" s="12" t="s">
        <v>135</v>
      </c>
      <c r="E50" s="13">
        <v>46112</v>
      </c>
      <c r="F50" s="11">
        <v>2.7210999999999999</v>
      </c>
      <c r="G50" s="11">
        <v>50.61</v>
      </c>
      <c r="H50" s="11">
        <v>1</v>
      </c>
      <c r="I50" s="11">
        <v>24.968699999999998</v>
      </c>
      <c r="J50" s="11">
        <v>84.000100000000003</v>
      </c>
      <c r="K50" s="11">
        <v>0.34</v>
      </c>
      <c r="L50" s="15">
        <f t="shared" si="0"/>
        <v>5.6233333333333331</v>
      </c>
      <c r="M50" s="14">
        <f>IF(Tabla15[[#This Row],[COMBUSTIBLE]]="PETRÓLEO",L50*$Q$2,L50*$Q$4)</f>
        <v>6753.623333333333</v>
      </c>
      <c r="N50" s="12" t="str">
        <f>IF(OR(WEEKDAY(Tabla15[[#This Row],[Fecha]],2)=6,WEEKDAY(Tabla15[[#This Row],[Fecha]],2)=7),"Fin de semana","Semana")</f>
        <v>Semana</v>
      </c>
    </row>
    <row r="51" spans="1:14" ht="12.75" customHeight="1" x14ac:dyDescent="0.25">
      <c r="A51" s="11" t="str">
        <f>_xlfn.XLOOKUP(Tabla15[[#This Row],[GPS]],Hoja3!A:A,Hoja3!B:B)</f>
        <v>TRACTOR</v>
      </c>
      <c r="B51" s="11" t="str">
        <f>_xlfn.XLOOKUP(GPS!D51,Hoja3!A:A,Hoja3!D:D)</f>
        <v>PETRÓLEO</v>
      </c>
      <c r="C51" s="12" t="str">
        <f>_xlfn.XLOOKUP(Tabla15[[#This Row],[GPS]],Hoja3!A:A,Hoja3!C:C)</f>
        <v>T5</v>
      </c>
      <c r="D51" s="12" t="s">
        <v>24</v>
      </c>
      <c r="E51" s="13">
        <v>46112</v>
      </c>
      <c r="F51" s="11">
        <v>2.7128000000000001</v>
      </c>
      <c r="G51" s="11">
        <v>15.18</v>
      </c>
      <c r="H51" s="11">
        <v>1</v>
      </c>
      <c r="I51" s="11">
        <v>7.5121000000000002</v>
      </c>
      <c r="J51" s="11">
        <v>38.4846</v>
      </c>
      <c r="K51" s="11">
        <v>0.34</v>
      </c>
      <c r="L51" s="15">
        <f t="shared" si="0"/>
        <v>2.5299999999999998</v>
      </c>
      <c r="M51" s="14">
        <f>IF(Tabla15[[#This Row],[COMBUSTIBLE]]="PETRÓLEO",L51*$Q$2,L51*$Q$4)</f>
        <v>3038.5299999999997</v>
      </c>
      <c r="N51" s="12" t="str">
        <f>IF(OR(WEEKDAY(Tabla15[[#This Row],[Fecha]],2)=6,WEEKDAY(Tabla15[[#This Row],[Fecha]],2)=7),"Fin de semana","Semana")</f>
        <v>Semana</v>
      </c>
    </row>
    <row r="52" spans="1:14" ht="12.75" customHeight="1" x14ac:dyDescent="0.25">
      <c r="A52" s="11" t="str">
        <f>_xlfn.XLOOKUP(Tabla15[[#This Row],[GPS]],Hoja3!A:A,Hoja3!B:B)</f>
        <v>TRACTOR</v>
      </c>
      <c r="B52" s="11" t="str">
        <f>_xlfn.XLOOKUP(GPS!D52,Hoja3!A:A,Hoja3!D:D)</f>
        <v>PETRÓLEO</v>
      </c>
      <c r="C52" s="12" t="str">
        <f>_xlfn.XLOOKUP(Tabla15[[#This Row],[GPS]],Hoja3!A:A,Hoja3!C:C)</f>
        <v>T14</v>
      </c>
      <c r="D52" s="12" t="s">
        <v>21</v>
      </c>
      <c r="E52" s="13">
        <v>46112</v>
      </c>
      <c r="F52" s="11">
        <v>2.5682999999999998</v>
      </c>
      <c r="G52" s="11">
        <v>2.93</v>
      </c>
      <c r="H52" s="11">
        <v>1</v>
      </c>
      <c r="I52" s="11">
        <v>4.8541999999999996</v>
      </c>
      <c r="J52" s="11">
        <v>20.594200000000001</v>
      </c>
      <c r="K52" s="11">
        <v>0.32</v>
      </c>
      <c r="L52" s="15">
        <f t="shared" si="0"/>
        <v>0.48833333333333334</v>
      </c>
      <c r="M52" s="14">
        <f>IF(Tabla15[[#This Row],[COMBUSTIBLE]]="PETRÓLEO",L52*$Q$2,L52*$Q$4)</f>
        <v>586.48833333333334</v>
      </c>
      <c r="N52" s="12" t="str">
        <f>IF(OR(WEEKDAY(Tabla15[[#This Row],[Fecha]],2)=6,WEEKDAY(Tabla15[[#This Row],[Fecha]],2)=7),"Fin de semana","Semana")</f>
        <v>Semana</v>
      </c>
    </row>
    <row r="53" spans="1:14" ht="12.75" customHeight="1" x14ac:dyDescent="0.25">
      <c r="A53" s="11" t="str">
        <f>_xlfn.XLOOKUP(Tabla15[[#This Row],[GPS]],Hoja3!A:A,Hoja3!B:B)</f>
        <v>CAMIONETA</v>
      </c>
      <c r="B53" s="11" t="str">
        <f>_xlfn.XLOOKUP(GPS!D53,Hoja3!A:A,Hoja3!D:D)</f>
        <v>PETRÓLEO</v>
      </c>
      <c r="C53" s="12" t="str">
        <f>_xlfn.XLOOKUP(Tabla15[[#This Row],[GPS]],Hoja3!A:A,Hoja3!C:C)</f>
        <v>GONZALO GUERRERO</v>
      </c>
      <c r="D53" s="12" t="s">
        <v>126</v>
      </c>
      <c r="E53" s="13">
        <v>46112</v>
      </c>
      <c r="F53" s="11">
        <v>1.5449999999999999</v>
      </c>
      <c r="G53" s="11">
        <v>52.6</v>
      </c>
      <c r="H53" s="11">
        <v>1</v>
      </c>
      <c r="I53" s="11">
        <v>34.861699999999999</v>
      </c>
      <c r="J53" s="11">
        <v>104</v>
      </c>
      <c r="K53" s="11">
        <v>0.19</v>
      </c>
      <c r="L53" s="15">
        <f t="shared" si="0"/>
        <v>5.844444444444445</v>
      </c>
      <c r="M53" s="14">
        <f>IF(Tabla15[[#This Row],[COMBUSTIBLE]]="PETRÓLEO",L53*$Q$2,L53*$Q$4)</f>
        <v>7019.1777777777788</v>
      </c>
      <c r="N53" s="12" t="str">
        <f>IF(OR(WEEKDAY(Tabla15[[#This Row],[Fecha]],2)=6,WEEKDAY(Tabla15[[#This Row],[Fecha]],2)=7),"Fin de semana","Semana")</f>
        <v>Semana</v>
      </c>
    </row>
    <row r="54" spans="1:14" ht="12.75" customHeight="1" x14ac:dyDescent="0.25">
      <c r="A54" s="11" t="str">
        <f>_xlfn.XLOOKUP(Tabla15[[#This Row],[GPS]],Hoja3!A:A,Hoja3!B:B)</f>
        <v>TRACTOR</v>
      </c>
      <c r="B54" s="11" t="str">
        <f>_xlfn.XLOOKUP(GPS!D54,Hoja3!A:A,Hoja3!D:D)</f>
        <v>PETRÓLEO</v>
      </c>
      <c r="C54" s="12" t="str">
        <f>_xlfn.XLOOKUP(Tabla15[[#This Row],[GPS]],Hoja3!A:A,Hoja3!C:C)</f>
        <v>T9</v>
      </c>
      <c r="D54" s="12" t="s">
        <v>28</v>
      </c>
      <c r="E54" s="13">
        <v>46112</v>
      </c>
      <c r="F54" s="11">
        <v>8.0000000000000004E-4</v>
      </c>
      <c r="G54" s="11">
        <v>0.03</v>
      </c>
      <c r="H54" s="11">
        <v>0</v>
      </c>
      <c r="I54" s="11">
        <v>10.0008</v>
      </c>
      <c r="J54" s="11">
        <v>13.760400000000001</v>
      </c>
      <c r="K54" s="11">
        <v>0</v>
      </c>
      <c r="L54" s="15">
        <f t="shared" si="0"/>
        <v>5.0000000000000001E-3</v>
      </c>
      <c r="M54" s="14">
        <f>IF(Tabla15[[#This Row],[COMBUSTIBLE]]="PETRÓLEO",L54*$Q$2,L54*$Q$4)</f>
        <v>6.0049999999999999</v>
      </c>
      <c r="N54" s="12" t="str">
        <f>IF(OR(WEEKDAY(Tabla15[[#This Row],[Fecha]],2)=6,WEEKDAY(Tabla15[[#This Row],[Fecha]],2)=7),"Fin de semana","Semana")</f>
        <v>Semana</v>
      </c>
    </row>
    <row r="55" spans="1:14" ht="12.75" customHeight="1" x14ac:dyDescent="0.25">
      <c r="A55" s="11" t="str">
        <f>_xlfn.XLOOKUP(Tabla15[[#This Row],[GPS]],Hoja3!A:A,Hoja3!B:B)</f>
        <v>CAMIONETA</v>
      </c>
      <c r="B55" s="11" t="str">
        <f>_xlfn.XLOOKUP(GPS!D55,Hoja3!A:A,Hoja3!D:D)</f>
        <v>BENCINA</v>
      </c>
      <c r="C55" s="12" t="str">
        <f>_xlfn.XLOOKUP(Tabla15[[#This Row],[GPS]],Hoja3!A:A,Hoja3!C:C)</f>
        <v>VG PIÑALEO</v>
      </c>
      <c r="D55" s="12" t="s">
        <v>114</v>
      </c>
      <c r="E55" s="13">
        <v>46112</v>
      </c>
      <c r="F55" s="11">
        <v>0</v>
      </c>
      <c r="G55" s="11">
        <v>73.260000000000005</v>
      </c>
      <c r="H55" s="11">
        <v>1</v>
      </c>
      <c r="I55" s="11">
        <v>37.107799999999997</v>
      </c>
      <c r="J55" s="11">
        <v>96.000100000000003</v>
      </c>
      <c r="K55" s="11">
        <v>0</v>
      </c>
      <c r="L55" s="15">
        <f t="shared" si="0"/>
        <v>6.66</v>
      </c>
      <c r="M55" s="14">
        <f>IF(Tabla15[[#This Row],[COMBUSTIBLE]]="PETRÓLEO",L55*$Q$2,L55*$Q$4)</f>
        <v>10323</v>
      </c>
      <c r="N55" s="12" t="str">
        <f>IF(OR(WEEKDAY(Tabla15[[#This Row],[Fecha]],2)=6,WEEKDAY(Tabla15[[#This Row],[Fecha]],2)=7),"Fin de semana","Semana")</f>
        <v>Semana</v>
      </c>
    </row>
    <row r="56" spans="1:14" ht="12.75" customHeight="1" x14ac:dyDescent="0.25">
      <c r="A56" s="11" t="str">
        <f>_xlfn.XLOOKUP(Tabla15[[#This Row],[GPS]],Hoja3!A:A,Hoja3!B:B)</f>
        <v>CAMIONETA</v>
      </c>
      <c r="B56" s="11" t="str">
        <f>_xlfn.XLOOKUP(GPS!D56,Hoja3!A:A,Hoja3!D:D)</f>
        <v>BENCINA</v>
      </c>
      <c r="C56" s="12" t="str">
        <f>_xlfn.XLOOKUP(Tabla15[[#This Row],[GPS]],Hoja3!A:A,Hoja3!C:C)</f>
        <v>VG GERARDO</v>
      </c>
      <c r="D56" s="12" t="s">
        <v>118</v>
      </c>
      <c r="E56" s="13">
        <v>46112</v>
      </c>
      <c r="F56" s="11">
        <v>0</v>
      </c>
      <c r="G56" s="11">
        <v>106.6</v>
      </c>
      <c r="H56" s="11">
        <v>1</v>
      </c>
      <c r="I56" s="11">
        <v>30.1401</v>
      </c>
      <c r="J56" s="11">
        <v>105.0001</v>
      </c>
      <c r="K56" s="11">
        <v>0</v>
      </c>
      <c r="L56" s="15">
        <f t="shared" si="0"/>
        <v>9.6909090909090896</v>
      </c>
      <c r="M56" s="14">
        <f>IF(Tabla15[[#This Row],[COMBUSTIBLE]]="PETRÓLEO",L56*$Q$2,L56*$Q$4)</f>
        <v>15020.909090909088</v>
      </c>
      <c r="N56" s="12" t="str">
        <f>IF(OR(WEEKDAY(Tabla15[[#This Row],[Fecha]],2)=6,WEEKDAY(Tabla15[[#This Row],[Fecha]],2)=7),"Fin de semana","Semana")</f>
        <v>Semana</v>
      </c>
    </row>
    <row r="57" spans="1:14" ht="12.75" customHeight="1" x14ac:dyDescent="0.25">
      <c r="A57" s="11" t="str">
        <f>_xlfn.XLOOKUP(Tabla15[[#This Row],[GPS]],Hoja3!A:A,Hoja3!B:B)</f>
        <v>CAMIONETA</v>
      </c>
      <c r="B57" s="11" t="str">
        <f>_xlfn.XLOOKUP(GPS!D57,Hoja3!A:A,Hoja3!D:D)</f>
        <v>PETRÓLEO</v>
      </c>
      <c r="C57" s="12" t="str">
        <f>_xlfn.XLOOKUP(Tabla15[[#This Row],[GPS]],Hoja3!A:A,Hoja3!C:C)</f>
        <v>SERGIO ROJAS</v>
      </c>
      <c r="D57" s="12" t="s">
        <v>128</v>
      </c>
      <c r="E57" s="13">
        <v>46112</v>
      </c>
      <c r="F57" s="11">
        <v>0</v>
      </c>
      <c r="G57" s="11">
        <v>49.43</v>
      </c>
      <c r="H57" s="11">
        <v>1</v>
      </c>
      <c r="I57" s="11">
        <v>23.943999999999999</v>
      </c>
      <c r="J57" s="11">
        <v>92</v>
      </c>
      <c r="K57" s="11">
        <v>0</v>
      </c>
      <c r="L57" s="15">
        <f t="shared" si="0"/>
        <v>5.4922222222222219</v>
      </c>
      <c r="M57" s="14">
        <f>IF(Tabla15[[#This Row],[COMBUSTIBLE]]="PETRÓLEO",L57*$Q$2,L57*$Q$4)</f>
        <v>6596.1588888888882</v>
      </c>
      <c r="N57" s="12" t="str">
        <f>IF(OR(WEEKDAY(Tabla15[[#This Row],[Fecha]],2)=6,WEEKDAY(Tabla15[[#This Row],[Fecha]],2)=7),"Fin de semana","Semana")</f>
        <v>Semana</v>
      </c>
    </row>
    <row r="58" spans="1:14" ht="12.75" customHeight="1" x14ac:dyDescent="0.25">
      <c r="A58" s="11" t="str">
        <f>_xlfn.XLOOKUP(Tabla15[[#This Row],[GPS]],Hoja3!A:A,Hoja3!B:B)</f>
        <v>CAMIONETA</v>
      </c>
      <c r="B58" s="11" t="str">
        <f>_xlfn.XLOOKUP(GPS!D58,Hoja3!A:A,Hoja3!D:D)</f>
        <v>BENCINA</v>
      </c>
      <c r="C58" s="12" t="str">
        <f>_xlfn.XLOOKUP(Tabla15[[#This Row],[GPS]],Hoja3!A:A,Hoja3!C:C)</f>
        <v>VG CERRILLOS</v>
      </c>
      <c r="D58" s="12" t="s">
        <v>137</v>
      </c>
      <c r="E58" s="13">
        <v>46112</v>
      </c>
      <c r="F58" s="11">
        <v>0</v>
      </c>
      <c r="G58" s="11">
        <v>34.75</v>
      </c>
      <c r="H58" s="11">
        <v>1</v>
      </c>
      <c r="I58" s="11">
        <v>20.292400000000001</v>
      </c>
      <c r="J58" s="11">
        <v>87.47</v>
      </c>
      <c r="K58" s="11">
        <v>0</v>
      </c>
      <c r="L58" s="15">
        <f t="shared" si="0"/>
        <v>3.1590909090909092</v>
      </c>
      <c r="M58" s="14">
        <f>IF(Tabla15[[#This Row],[COMBUSTIBLE]]="PETRÓLEO",L58*$Q$2,L58*$Q$4)</f>
        <v>4896.590909090909</v>
      </c>
      <c r="N58" s="12" t="str">
        <f>IF(OR(WEEKDAY(Tabla15[[#This Row],[Fecha]],2)=6,WEEKDAY(Tabla15[[#This Row],[Fecha]],2)=7),"Fin de semana","Semana")</f>
        <v>Semana</v>
      </c>
    </row>
    <row r="59" spans="1:14" ht="12.75" customHeight="1" x14ac:dyDescent="0.25">
      <c r="A59" s="11" t="str">
        <f>_xlfn.XLOOKUP(Tabla15[[#This Row],[GPS]],Hoja3!A:A,Hoja3!B:B)</f>
        <v>TRACTOR</v>
      </c>
      <c r="B59" s="11" t="str">
        <f>_xlfn.XLOOKUP(GPS!D59,Hoja3!A:A,Hoja3!D:D)</f>
        <v>PETRÓLEO</v>
      </c>
      <c r="C59" s="12" t="str">
        <f>_xlfn.XLOOKUP(Tabla15[[#This Row],[GPS]],Hoja3!A:A,Hoja3!C:C)</f>
        <v>T14</v>
      </c>
      <c r="D59" s="12" t="s">
        <v>21</v>
      </c>
      <c r="E59" s="13">
        <v>46113</v>
      </c>
      <c r="F59" s="11">
        <v>9.0914000000000001</v>
      </c>
      <c r="G59" s="11">
        <v>79.08</v>
      </c>
      <c r="H59" s="11">
        <v>1</v>
      </c>
      <c r="I59" s="11">
        <v>10.703799999999999</v>
      </c>
      <c r="J59" s="11">
        <v>84.025199999999998</v>
      </c>
      <c r="K59" s="11">
        <v>1.1399999999999999</v>
      </c>
      <c r="L59" s="15">
        <f t="shared" si="0"/>
        <v>13.18</v>
      </c>
      <c r="M59" s="14">
        <f>IF(Tabla15[[#This Row],[COMBUSTIBLE]]="PETRÓLEO",L59*$Q$2,L59*$Q$4)</f>
        <v>15829.18</v>
      </c>
      <c r="N59" s="12" t="str">
        <f>IF(OR(WEEKDAY(Tabla15[[#This Row],[Fecha]],2)=6,WEEKDAY(Tabla15[[#This Row],[Fecha]],2)=7),"Fin de semana","Semana")</f>
        <v>Semana</v>
      </c>
    </row>
    <row r="60" spans="1:14" ht="12.75" customHeight="1" x14ac:dyDescent="0.25">
      <c r="A60" s="11" t="str">
        <f>_xlfn.XLOOKUP(Tabla15[[#This Row],[GPS]],Hoja3!A:A,Hoja3!B:B)</f>
        <v>TRACTOR</v>
      </c>
      <c r="B60" s="11" t="str">
        <f>_xlfn.XLOOKUP(GPS!D60,Hoja3!A:A,Hoja3!D:D)</f>
        <v>PETRÓLEO</v>
      </c>
      <c r="C60" s="12" t="str">
        <f>_xlfn.XLOOKUP(Tabla15[[#This Row],[GPS]],Hoja3!A:A,Hoja3!C:C)</f>
        <v>TA01</v>
      </c>
      <c r="D60" s="12" t="s">
        <v>29</v>
      </c>
      <c r="E60" s="13">
        <v>46113</v>
      </c>
      <c r="F60" s="11">
        <v>6.5274999999999999</v>
      </c>
      <c r="G60" s="11">
        <v>32.619999999999997</v>
      </c>
      <c r="H60" s="11">
        <v>1</v>
      </c>
      <c r="I60" s="11">
        <v>7.2983000000000002</v>
      </c>
      <c r="J60" s="11">
        <v>43.818300000000001</v>
      </c>
      <c r="K60" s="11">
        <v>0.82</v>
      </c>
      <c r="L60" s="15">
        <f t="shared" si="0"/>
        <v>5.4366666666666665</v>
      </c>
      <c r="M60" s="14">
        <f>IF(Tabla15[[#This Row],[COMBUSTIBLE]]="PETRÓLEO",L60*$Q$2,L60*$Q$4)</f>
        <v>6529.4366666666665</v>
      </c>
      <c r="N60" s="12" t="str">
        <f>IF(OR(WEEKDAY(Tabla15[[#This Row],[Fecha]],2)=6,WEEKDAY(Tabla15[[#This Row],[Fecha]],2)=7),"Fin de semana","Semana")</f>
        <v>Semana</v>
      </c>
    </row>
    <row r="61" spans="1:14" ht="12.75" customHeight="1" x14ac:dyDescent="0.25">
      <c r="A61" s="11" t="str">
        <f>_xlfn.XLOOKUP(Tabla15[[#This Row],[GPS]],Hoja3!A:A,Hoja3!B:B)</f>
        <v>TRACTOR</v>
      </c>
      <c r="B61" s="11" t="str">
        <f>_xlfn.XLOOKUP(GPS!D61,Hoja3!A:A,Hoja3!D:D)</f>
        <v>PETRÓLEO</v>
      </c>
      <c r="C61" s="12" t="str">
        <f>_xlfn.XLOOKUP(Tabla15[[#This Row],[GPS]],Hoja3!A:A,Hoja3!C:C)</f>
        <v>T10</v>
      </c>
      <c r="D61" s="12" t="s">
        <v>14</v>
      </c>
      <c r="E61" s="13">
        <v>46113</v>
      </c>
      <c r="F61" s="11">
        <v>6.4861000000000004</v>
      </c>
      <c r="G61" s="11">
        <v>15.79</v>
      </c>
      <c r="H61" s="11">
        <v>1</v>
      </c>
      <c r="I61" s="11">
        <v>4.3494000000000002</v>
      </c>
      <c r="J61" s="11">
        <v>69.394400000000005</v>
      </c>
      <c r="K61" s="11">
        <v>0.81</v>
      </c>
      <c r="L61" s="15">
        <f t="shared" si="0"/>
        <v>2.6316666666666664</v>
      </c>
      <c r="M61" s="14">
        <f>IF(Tabla15[[#This Row],[COMBUSTIBLE]]="PETRÓLEO",L61*$Q$2,L61*$Q$4)</f>
        <v>3160.6316666666662</v>
      </c>
      <c r="N61" s="12" t="str">
        <f>IF(OR(WEEKDAY(Tabla15[[#This Row],[Fecha]],2)=6,WEEKDAY(Tabla15[[#This Row],[Fecha]],2)=7),"Fin de semana","Semana")</f>
        <v>Semana</v>
      </c>
    </row>
    <row r="62" spans="1:14" ht="12.75" customHeight="1" x14ac:dyDescent="0.25">
      <c r="A62" s="11" t="str">
        <f>_xlfn.XLOOKUP(Tabla15[[#This Row],[GPS]],Hoja3!A:A,Hoja3!B:B)</f>
        <v>TRACTOR</v>
      </c>
      <c r="B62" s="11" t="str">
        <f>_xlfn.XLOOKUP(GPS!D62,Hoja3!A:A,Hoja3!D:D)</f>
        <v>PETRÓLEO</v>
      </c>
      <c r="C62" s="12" t="str">
        <f>_xlfn.XLOOKUP(Tabla15[[#This Row],[GPS]],Hoja3!A:A,Hoja3!C:C)</f>
        <v>TA02</v>
      </c>
      <c r="D62" s="12" t="s">
        <v>30</v>
      </c>
      <c r="E62" s="13">
        <v>46113</v>
      </c>
      <c r="F62" s="11">
        <v>6.4722</v>
      </c>
      <c r="G62" s="11">
        <v>30.36</v>
      </c>
      <c r="H62" s="11">
        <v>1</v>
      </c>
      <c r="I62" s="11">
        <v>6.8089000000000004</v>
      </c>
      <c r="J62" s="11">
        <v>43.614600000000003</v>
      </c>
      <c r="K62" s="11">
        <v>0.81</v>
      </c>
      <c r="L62" s="15">
        <f t="shared" si="0"/>
        <v>5.0599999999999996</v>
      </c>
      <c r="M62" s="14">
        <f>IF(Tabla15[[#This Row],[COMBUSTIBLE]]="PETRÓLEO",L62*$Q$2,L62*$Q$4)</f>
        <v>6077.0599999999995</v>
      </c>
      <c r="N62" s="12" t="str">
        <f>IF(OR(WEEKDAY(Tabla15[[#This Row],[Fecha]],2)=6,WEEKDAY(Tabla15[[#This Row],[Fecha]],2)=7),"Fin de semana","Semana")</f>
        <v>Semana</v>
      </c>
    </row>
    <row r="63" spans="1:14" ht="12.75" customHeight="1" x14ac:dyDescent="0.25">
      <c r="A63" s="11" t="str">
        <f>_xlfn.XLOOKUP(Tabla15[[#This Row],[GPS]],Hoja3!A:A,Hoja3!B:B)</f>
        <v>TRACTOR</v>
      </c>
      <c r="B63" s="11" t="str">
        <f>_xlfn.XLOOKUP(GPS!D63,Hoja3!A:A,Hoja3!D:D)</f>
        <v>PETRÓLEO</v>
      </c>
      <c r="C63" s="12" t="str">
        <f>_xlfn.XLOOKUP(Tabla15[[#This Row],[GPS]],Hoja3!A:A,Hoja3!C:C)</f>
        <v>T12</v>
      </c>
      <c r="D63" s="12" t="s">
        <v>17</v>
      </c>
      <c r="E63" s="13">
        <v>46113</v>
      </c>
      <c r="F63" s="11">
        <v>6.4131</v>
      </c>
      <c r="G63" s="11">
        <v>14.44</v>
      </c>
      <c r="H63" s="11">
        <v>1</v>
      </c>
      <c r="I63" s="11">
        <v>4.3079000000000001</v>
      </c>
      <c r="J63" s="11">
        <v>24.2056</v>
      </c>
      <c r="K63" s="11">
        <v>0.8</v>
      </c>
      <c r="L63" s="15">
        <f t="shared" si="0"/>
        <v>2.4066666666666667</v>
      </c>
      <c r="M63" s="14">
        <f>IF(Tabla15[[#This Row],[COMBUSTIBLE]]="PETRÓLEO",L63*$Q$2,L63*$Q$4)</f>
        <v>2890.4066666666668</v>
      </c>
      <c r="N63" s="12" t="str">
        <f>IF(OR(WEEKDAY(Tabla15[[#This Row],[Fecha]],2)=6,WEEKDAY(Tabla15[[#This Row],[Fecha]],2)=7),"Fin de semana","Semana")</f>
        <v>Semana</v>
      </c>
    </row>
    <row r="64" spans="1:14" ht="12.75" customHeight="1" x14ac:dyDescent="0.25">
      <c r="A64" s="11" t="str">
        <f>_xlfn.XLOOKUP(Tabla15[[#This Row],[GPS]],Hoja3!A:A,Hoja3!B:B)</f>
        <v>CAMIONETA</v>
      </c>
      <c r="B64" s="11" t="str">
        <f>_xlfn.XLOOKUP(GPS!D64,Hoja3!A:A,Hoja3!D:D)</f>
        <v>PETRÓLEO</v>
      </c>
      <c r="C64" s="12" t="str">
        <f>_xlfn.XLOOKUP(Tabla15[[#This Row],[GPS]],Hoja3!A:A,Hoja3!C:C)</f>
        <v>CAMPO CERRILLOS</v>
      </c>
      <c r="D64" s="12" t="s">
        <v>121</v>
      </c>
      <c r="E64" s="13">
        <v>46113</v>
      </c>
      <c r="F64" s="11">
        <v>6.0567000000000002</v>
      </c>
      <c r="G64" s="11">
        <v>33.21</v>
      </c>
      <c r="H64" s="11">
        <v>1</v>
      </c>
      <c r="I64" s="11">
        <v>13.369199999999999</v>
      </c>
      <c r="J64" s="11">
        <v>45.2258</v>
      </c>
      <c r="K64" s="11">
        <v>0.76</v>
      </c>
      <c r="L64" s="15">
        <f t="shared" si="0"/>
        <v>3.69</v>
      </c>
      <c r="M64" s="14">
        <f>IF(Tabla15[[#This Row],[COMBUSTIBLE]]="PETRÓLEO",L64*$Q$2,L64*$Q$4)</f>
        <v>4431.6899999999996</v>
      </c>
      <c r="N64" s="12" t="str">
        <f>IF(OR(WEEKDAY(Tabla15[[#This Row],[Fecha]],2)=6,WEEKDAY(Tabla15[[#This Row],[Fecha]],2)=7),"Fin de semana","Semana")</f>
        <v>Semana</v>
      </c>
    </row>
    <row r="65" spans="1:14" ht="12.75" customHeight="1" x14ac:dyDescent="0.25">
      <c r="A65" s="11" t="str">
        <f>_xlfn.XLOOKUP(Tabla15[[#This Row],[GPS]],Hoja3!A:A,Hoja3!B:B)</f>
        <v>TRACTOR</v>
      </c>
      <c r="B65" s="11" t="str">
        <f>_xlfn.XLOOKUP(GPS!D65,Hoja3!A:A,Hoja3!D:D)</f>
        <v>PETRÓLEO</v>
      </c>
      <c r="C65" s="12" t="str">
        <f>_xlfn.XLOOKUP(Tabla15[[#This Row],[GPS]],Hoja3!A:A,Hoja3!C:C)</f>
        <v>T13</v>
      </c>
      <c r="D65" s="12" t="s">
        <v>19</v>
      </c>
      <c r="E65" s="13">
        <v>46113</v>
      </c>
      <c r="F65" s="11">
        <v>5.4874999999999998</v>
      </c>
      <c r="G65" s="11">
        <v>25.38</v>
      </c>
      <c r="H65" s="11">
        <v>1</v>
      </c>
      <c r="I65" s="11">
        <v>5.8849</v>
      </c>
      <c r="J65" s="11">
        <v>34.187899999999999</v>
      </c>
      <c r="K65" s="11">
        <v>0.69</v>
      </c>
      <c r="L65" s="15">
        <f t="shared" si="0"/>
        <v>4.2299999999999995</v>
      </c>
      <c r="M65" s="14">
        <f>IF(Tabla15[[#This Row],[COMBUSTIBLE]]="PETRÓLEO",L65*$Q$2,L65*$Q$4)</f>
        <v>5080.2299999999996</v>
      </c>
      <c r="N65" s="12" t="str">
        <f>IF(OR(WEEKDAY(Tabla15[[#This Row],[Fecha]],2)=6,WEEKDAY(Tabla15[[#This Row],[Fecha]],2)=7),"Fin de semana","Semana")</f>
        <v>Semana</v>
      </c>
    </row>
    <row r="66" spans="1:14" ht="12.75" customHeight="1" x14ac:dyDescent="0.25">
      <c r="A66" s="11" t="str">
        <f>_xlfn.XLOOKUP(Tabla15[[#This Row],[GPS]],Hoja3!A:A,Hoja3!B:B)</f>
        <v>CAMIONETA</v>
      </c>
      <c r="B66" s="11" t="str">
        <f>_xlfn.XLOOKUP(GPS!D66,Hoja3!A:A,Hoja3!D:D)</f>
        <v>PETRÓLEO</v>
      </c>
      <c r="C66" s="12" t="str">
        <f>_xlfn.XLOOKUP(Tabla15[[#This Row],[GPS]],Hoja3!A:A,Hoja3!C:C)</f>
        <v>CAMPO PAINE</v>
      </c>
      <c r="D66" s="12" t="s">
        <v>131</v>
      </c>
      <c r="E66" s="13">
        <v>46113</v>
      </c>
      <c r="F66" s="11">
        <v>5.27</v>
      </c>
      <c r="G66" s="11">
        <v>53.37</v>
      </c>
      <c r="H66" s="11">
        <v>1</v>
      </c>
      <c r="I66" s="11">
        <v>19.6417</v>
      </c>
      <c r="J66" s="11">
        <v>177.1438</v>
      </c>
      <c r="K66" s="11">
        <v>0.66</v>
      </c>
      <c r="L66" s="15">
        <f t="shared" ref="L66:L129" si="1">IF(AND(A66="CAMIONETA",B66="BENCINA"),G66/$Q$5,IF(A66="TRACTOR",G66/$Q$3,G66/$Q$1))</f>
        <v>5.93</v>
      </c>
      <c r="M66" s="14">
        <f>IF(Tabla15[[#This Row],[COMBUSTIBLE]]="PETRÓLEO",L66*$Q$2,L66*$Q$4)</f>
        <v>7121.9299999999994</v>
      </c>
      <c r="N66" s="12" t="str">
        <f>IF(OR(WEEKDAY(Tabla15[[#This Row],[Fecha]],2)=6,WEEKDAY(Tabla15[[#This Row],[Fecha]],2)=7),"Fin de semana","Semana")</f>
        <v>Semana</v>
      </c>
    </row>
    <row r="67" spans="1:14" ht="12.75" customHeight="1" x14ac:dyDescent="0.25">
      <c r="A67" s="11" t="str">
        <f>_xlfn.XLOOKUP(Tabla15[[#This Row],[GPS]],Hoja3!A:A,Hoja3!B:B)</f>
        <v>CAMIONETA</v>
      </c>
      <c r="B67" s="11" t="str">
        <f>_xlfn.XLOOKUP(GPS!D67,Hoja3!A:A,Hoja3!D:D)</f>
        <v>PETRÓLEO</v>
      </c>
      <c r="C67" s="12" t="str">
        <f>_xlfn.XLOOKUP(Tabla15[[#This Row],[GPS]],Hoja3!A:A,Hoja3!C:C)</f>
        <v>RODRIGO SALINAS</v>
      </c>
      <c r="D67" s="12" t="s">
        <v>109</v>
      </c>
      <c r="E67" s="13">
        <v>46113</v>
      </c>
      <c r="F67" s="11">
        <v>4.3632999999999997</v>
      </c>
      <c r="G67" s="11">
        <v>196.33</v>
      </c>
      <c r="H67" s="11">
        <v>1</v>
      </c>
      <c r="I67" s="11">
        <v>52.647599999999997</v>
      </c>
      <c r="J67" s="11">
        <v>201.27539999999999</v>
      </c>
      <c r="K67" s="11">
        <v>0.55000000000000004</v>
      </c>
      <c r="L67" s="15">
        <f t="shared" si="1"/>
        <v>21.814444444444447</v>
      </c>
      <c r="M67" s="14">
        <f>IF(Tabla15[[#This Row],[COMBUSTIBLE]]="PETRÓLEO",L67*$Q$2,L67*$Q$4)</f>
        <v>26199.14777777778</v>
      </c>
      <c r="N67" s="12" t="str">
        <f>IF(OR(WEEKDAY(Tabla15[[#This Row],[Fecha]],2)=6,WEEKDAY(Tabla15[[#This Row],[Fecha]],2)=7),"Fin de semana","Semana")</f>
        <v>Semana</v>
      </c>
    </row>
    <row r="68" spans="1:14" ht="12.75" customHeight="1" x14ac:dyDescent="0.25">
      <c r="A68" s="11" t="str">
        <f>_xlfn.XLOOKUP(Tabla15[[#This Row],[GPS]],Hoja3!A:A,Hoja3!B:B)</f>
        <v>TRACTOR</v>
      </c>
      <c r="B68" s="11" t="str">
        <f>_xlfn.XLOOKUP(GPS!D68,Hoja3!A:A,Hoja3!D:D)</f>
        <v>PETRÓLEO</v>
      </c>
      <c r="C68" s="12" t="str">
        <f>_xlfn.XLOOKUP(Tabla15[[#This Row],[GPS]],Hoja3!A:A,Hoja3!C:C)</f>
        <v>T6</v>
      </c>
      <c r="D68" s="12" t="s">
        <v>25</v>
      </c>
      <c r="E68" s="13">
        <v>46113</v>
      </c>
      <c r="F68" s="11">
        <v>3.8921999999999999</v>
      </c>
      <c r="G68" s="11">
        <v>12.97</v>
      </c>
      <c r="H68" s="11">
        <v>1</v>
      </c>
      <c r="I68" s="11">
        <v>6.1536</v>
      </c>
      <c r="J68" s="11">
        <v>63.060600000000001</v>
      </c>
      <c r="K68" s="11">
        <v>0.49</v>
      </c>
      <c r="L68" s="15">
        <f t="shared" si="1"/>
        <v>2.1616666666666666</v>
      </c>
      <c r="M68" s="14">
        <f>IF(Tabla15[[#This Row],[COMBUSTIBLE]]="PETRÓLEO",L68*$Q$2,L68*$Q$4)</f>
        <v>2596.1616666666664</v>
      </c>
      <c r="N68" s="12" t="str">
        <f>IF(OR(WEEKDAY(Tabla15[[#This Row],[Fecha]],2)=6,WEEKDAY(Tabla15[[#This Row],[Fecha]],2)=7),"Fin de semana","Semana")</f>
        <v>Semana</v>
      </c>
    </row>
    <row r="69" spans="1:14" ht="12.75" customHeight="1" x14ac:dyDescent="0.25">
      <c r="A69" s="11" t="str">
        <f>_xlfn.XLOOKUP(Tabla15[[#This Row],[GPS]],Hoja3!A:A,Hoja3!B:B)</f>
        <v>CAMIONETA</v>
      </c>
      <c r="B69" s="11" t="str">
        <f>_xlfn.XLOOKUP(GPS!D69,Hoja3!A:A,Hoja3!D:D)</f>
        <v>PETRÓLEO</v>
      </c>
      <c r="C69" s="12" t="str">
        <f>_xlfn.XLOOKUP(Tabla15[[#This Row],[GPS]],Hoja3!A:A,Hoja3!C:C)</f>
        <v>CAMPO RULO</v>
      </c>
      <c r="D69" s="12" t="s">
        <v>135</v>
      </c>
      <c r="E69" s="13">
        <v>46113</v>
      </c>
      <c r="F69" s="11">
        <v>2.6724999999999999</v>
      </c>
      <c r="G69" s="11">
        <v>39.39</v>
      </c>
      <c r="H69" s="11">
        <v>1</v>
      </c>
      <c r="I69" s="11">
        <v>19.309799999999999</v>
      </c>
      <c r="J69" s="11">
        <v>89.000100000000003</v>
      </c>
      <c r="K69" s="11">
        <v>0.33</v>
      </c>
      <c r="L69" s="15">
        <f t="shared" si="1"/>
        <v>4.3766666666666669</v>
      </c>
      <c r="M69" s="14">
        <f>IF(Tabla15[[#This Row],[COMBUSTIBLE]]="PETRÓLEO",L69*$Q$2,L69*$Q$4)</f>
        <v>5256.376666666667</v>
      </c>
      <c r="N69" s="12" t="str">
        <f>IF(OR(WEEKDAY(Tabla15[[#This Row],[Fecha]],2)=6,WEEKDAY(Tabla15[[#This Row],[Fecha]],2)=7),"Fin de semana","Semana")</f>
        <v>Semana</v>
      </c>
    </row>
    <row r="70" spans="1:14" ht="12.75" customHeight="1" x14ac:dyDescent="0.25">
      <c r="A70" s="11" t="str">
        <f>_xlfn.XLOOKUP(Tabla15[[#This Row],[GPS]],Hoja3!A:A,Hoja3!B:B)</f>
        <v>CAMIONETA</v>
      </c>
      <c r="B70" s="11" t="str">
        <f>_xlfn.XLOOKUP(GPS!D70,Hoja3!A:A,Hoja3!D:D)</f>
        <v>PETRÓLEO</v>
      </c>
      <c r="C70" s="12" t="str">
        <f>_xlfn.XLOOKUP(Tabla15[[#This Row],[GPS]],Hoja3!A:A,Hoja3!C:C)</f>
        <v>GONZALO GUERRERO</v>
      </c>
      <c r="D70" s="12" t="s">
        <v>126</v>
      </c>
      <c r="E70" s="13">
        <v>46113</v>
      </c>
      <c r="F70" s="11">
        <v>2.4413999999999998</v>
      </c>
      <c r="G70" s="11">
        <v>55.39</v>
      </c>
      <c r="H70" s="11">
        <v>1</v>
      </c>
      <c r="I70" s="11">
        <v>27.157</v>
      </c>
      <c r="J70" s="11">
        <v>114.8981</v>
      </c>
      <c r="K70" s="11">
        <v>0.31</v>
      </c>
      <c r="L70" s="15">
        <f t="shared" si="1"/>
        <v>6.1544444444444446</v>
      </c>
      <c r="M70" s="14">
        <f>IF(Tabla15[[#This Row],[COMBUSTIBLE]]="PETRÓLEO",L70*$Q$2,L70*$Q$4)</f>
        <v>7391.4877777777783</v>
      </c>
      <c r="N70" s="12" t="str">
        <f>IF(OR(WEEKDAY(Tabla15[[#This Row],[Fecha]],2)=6,WEEKDAY(Tabla15[[#This Row],[Fecha]],2)=7),"Fin de semana","Semana")</f>
        <v>Semana</v>
      </c>
    </row>
    <row r="71" spans="1:14" ht="12.75" customHeight="1" x14ac:dyDescent="0.25">
      <c r="A71" s="11" t="str">
        <f>_xlfn.XLOOKUP(Tabla15[[#This Row],[GPS]],Hoja3!A:A,Hoja3!B:B)</f>
        <v>TRACTOR</v>
      </c>
      <c r="B71" s="11" t="str">
        <f>_xlfn.XLOOKUP(GPS!D71,Hoja3!A:A,Hoja3!D:D)</f>
        <v>PETRÓLEO</v>
      </c>
      <c r="C71" s="12" t="str">
        <f>_xlfn.XLOOKUP(Tabla15[[#This Row],[GPS]],Hoja3!A:A,Hoja3!C:C)</f>
        <v>T5</v>
      </c>
      <c r="D71" s="12" t="s">
        <v>24</v>
      </c>
      <c r="E71" s="13">
        <v>46113</v>
      </c>
      <c r="F71" s="11">
        <v>2.4058000000000002</v>
      </c>
      <c r="G71" s="11">
        <v>19.649999999999999</v>
      </c>
      <c r="H71" s="11">
        <v>1</v>
      </c>
      <c r="I71" s="11">
        <v>9.9192</v>
      </c>
      <c r="J71" s="11">
        <v>30.372800000000002</v>
      </c>
      <c r="K71" s="11">
        <v>0.3</v>
      </c>
      <c r="L71" s="15">
        <f t="shared" si="1"/>
        <v>3.2749999999999999</v>
      </c>
      <c r="M71" s="14">
        <f>IF(Tabla15[[#This Row],[COMBUSTIBLE]]="PETRÓLEO",L71*$Q$2,L71*$Q$4)</f>
        <v>3933.2750000000001</v>
      </c>
      <c r="N71" s="12" t="str">
        <f>IF(OR(WEEKDAY(Tabla15[[#This Row],[Fecha]],2)=6,WEEKDAY(Tabla15[[#This Row],[Fecha]],2)=7),"Fin de semana","Semana")</f>
        <v>Semana</v>
      </c>
    </row>
    <row r="72" spans="1:14" ht="12.75" customHeight="1" x14ac:dyDescent="0.25">
      <c r="A72" s="11" t="str">
        <f>_xlfn.XLOOKUP(Tabla15[[#This Row],[GPS]],Hoja3!A:A,Hoja3!B:B)</f>
        <v>TRACTOR</v>
      </c>
      <c r="B72" s="11" t="str">
        <f>_xlfn.XLOOKUP(GPS!D72,Hoja3!A:A,Hoja3!D:D)</f>
        <v>PETRÓLEO</v>
      </c>
      <c r="C72" s="12" t="str">
        <f>_xlfn.XLOOKUP(Tabla15[[#This Row],[GPS]],Hoja3!A:A,Hoja3!C:C)</f>
        <v>T7</v>
      </c>
      <c r="D72" s="12" t="s">
        <v>26</v>
      </c>
      <c r="E72" s="13">
        <v>46113</v>
      </c>
      <c r="F72" s="11">
        <v>0.1167</v>
      </c>
      <c r="G72" s="11">
        <v>0.03</v>
      </c>
      <c r="H72" s="11">
        <v>0</v>
      </c>
      <c r="I72" s="11">
        <v>5.0444000000000004</v>
      </c>
      <c r="J72" s="11">
        <v>21.6128</v>
      </c>
      <c r="K72" s="11">
        <v>0.01</v>
      </c>
      <c r="L72" s="15">
        <f t="shared" si="1"/>
        <v>5.0000000000000001E-3</v>
      </c>
      <c r="M72" s="14">
        <f>IF(Tabla15[[#This Row],[COMBUSTIBLE]]="PETRÓLEO",L72*$Q$2,L72*$Q$4)</f>
        <v>6.0049999999999999</v>
      </c>
      <c r="N72" s="12" t="str">
        <f>IF(OR(WEEKDAY(Tabla15[[#This Row],[Fecha]],2)=6,WEEKDAY(Tabla15[[#This Row],[Fecha]],2)=7),"Fin de semana","Semana")</f>
        <v>Semana</v>
      </c>
    </row>
    <row r="73" spans="1:14" ht="12.75" customHeight="1" x14ac:dyDescent="0.25">
      <c r="A73" s="11" t="str">
        <f>_xlfn.XLOOKUP(Tabla15[[#This Row],[GPS]],Hoja3!A:A,Hoja3!B:B)</f>
        <v>TRACTOR</v>
      </c>
      <c r="B73" s="11" t="str">
        <f>_xlfn.XLOOKUP(GPS!D73,Hoja3!A:A,Hoja3!D:D)</f>
        <v>PETRÓLEO</v>
      </c>
      <c r="C73" s="12" t="str">
        <f>_xlfn.XLOOKUP(Tabla15[[#This Row],[GPS]],Hoja3!A:A,Hoja3!C:C)</f>
        <v>T9</v>
      </c>
      <c r="D73" s="12" t="s">
        <v>28</v>
      </c>
      <c r="E73" s="13">
        <v>46113</v>
      </c>
      <c r="F73" s="11">
        <v>5.9999999999999995E-4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5">
        <f t="shared" si="1"/>
        <v>0</v>
      </c>
      <c r="M73" s="14">
        <f>IF(Tabla15[[#This Row],[COMBUSTIBLE]]="PETRÓLEO",L73*$Q$2,L73*$Q$4)</f>
        <v>0</v>
      </c>
      <c r="N73" s="12" t="str">
        <f>IF(OR(WEEKDAY(Tabla15[[#This Row],[Fecha]],2)=6,WEEKDAY(Tabla15[[#This Row],[Fecha]],2)=7),"Fin de semana","Semana")</f>
        <v>Semana</v>
      </c>
    </row>
    <row r="74" spans="1:14" ht="12.75" customHeight="1" x14ac:dyDescent="0.25">
      <c r="A74" s="11" t="str">
        <f>_xlfn.XLOOKUP(Tabla15[[#This Row],[GPS]],Hoja3!A:A,Hoja3!B:B)</f>
        <v>CAMIONETA</v>
      </c>
      <c r="B74" s="11" t="str">
        <f>_xlfn.XLOOKUP(GPS!D74,Hoja3!A:A,Hoja3!D:D)</f>
        <v>BENCINA</v>
      </c>
      <c r="C74" s="12" t="str">
        <f>_xlfn.XLOOKUP(Tabla15[[#This Row],[GPS]],Hoja3!A:A,Hoja3!C:C)</f>
        <v>VG PIÑALEO</v>
      </c>
      <c r="D74" s="12" t="s">
        <v>114</v>
      </c>
      <c r="E74" s="13">
        <v>46113</v>
      </c>
      <c r="F74" s="11">
        <v>0</v>
      </c>
      <c r="G74" s="11">
        <v>66.92</v>
      </c>
      <c r="H74" s="11">
        <v>1</v>
      </c>
      <c r="I74" s="11">
        <v>31.355799999999999</v>
      </c>
      <c r="J74" s="11">
        <v>120.7689</v>
      </c>
      <c r="K74" s="11">
        <v>0</v>
      </c>
      <c r="L74" s="15">
        <f t="shared" si="1"/>
        <v>6.083636363636364</v>
      </c>
      <c r="M74" s="14">
        <f>IF(Tabla15[[#This Row],[COMBUSTIBLE]]="PETRÓLEO",L74*$Q$2,L74*$Q$4)</f>
        <v>9429.636363636364</v>
      </c>
      <c r="N74" s="12" t="str">
        <f>IF(OR(WEEKDAY(Tabla15[[#This Row],[Fecha]],2)=6,WEEKDAY(Tabla15[[#This Row],[Fecha]],2)=7),"Fin de semana","Semana")</f>
        <v>Semana</v>
      </c>
    </row>
    <row r="75" spans="1:14" ht="12.75" customHeight="1" x14ac:dyDescent="0.25">
      <c r="A75" s="11" t="str">
        <f>_xlfn.XLOOKUP(Tabla15[[#This Row],[GPS]],Hoja3!A:A,Hoja3!B:B)</f>
        <v>CAMIONETA</v>
      </c>
      <c r="B75" s="11" t="str">
        <f>_xlfn.XLOOKUP(GPS!D75,Hoja3!A:A,Hoja3!D:D)</f>
        <v>PETRÓLEO</v>
      </c>
      <c r="C75" s="12" t="str">
        <f>_xlfn.XLOOKUP(Tabla15[[#This Row],[GPS]],Hoja3!A:A,Hoja3!C:C)</f>
        <v>SERGIO ROJAS</v>
      </c>
      <c r="D75" s="12" t="s">
        <v>128</v>
      </c>
      <c r="E75" s="13">
        <v>46113</v>
      </c>
      <c r="F75" s="11">
        <v>0</v>
      </c>
      <c r="G75" s="11">
        <v>52.86</v>
      </c>
      <c r="H75" s="11">
        <v>1</v>
      </c>
      <c r="I75" s="11">
        <v>22.1708</v>
      </c>
      <c r="J75" s="11">
        <v>86</v>
      </c>
      <c r="K75" s="11">
        <v>0</v>
      </c>
      <c r="L75" s="15">
        <f t="shared" si="1"/>
        <v>5.8733333333333331</v>
      </c>
      <c r="M75" s="14">
        <f>IF(Tabla15[[#This Row],[COMBUSTIBLE]]="PETRÓLEO",L75*$Q$2,L75*$Q$4)</f>
        <v>7053.873333333333</v>
      </c>
      <c r="N75" s="12" t="str">
        <f>IF(OR(WEEKDAY(Tabla15[[#This Row],[Fecha]],2)=6,WEEKDAY(Tabla15[[#This Row],[Fecha]],2)=7),"Fin de semana","Semana")</f>
        <v>Semana</v>
      </c>
    </row>
    <row r="76" spans="1:14" ht="12.75" customHeight="1" x14ac:dyDescent="0.25">
      <c r="A76" s="11" t="str">
        <f>_xlfn.XLOOKUP(Tabla15[[#This Row],[GPS]],Hoja3!A:A,Hoja3!B:B)</f>
        <v>CAMIONETA</v>
      </c>
      <c r="B76" s="11" t="str">
        <f>_xlfn.XLOOKUP(GPS!D76,Hoja3!A:A,Hoja3!D:D)</f>
        <v>BENCINA</v>
      </c>
      <c r="C76" s="12" t="str">
        <f>_xlfn.XLOOKUP(Tabla15[[#This Row],[GPS]],Hoja3!A:A,Hoja3!C:C)</f>
        <v>VG CERRILLOS</v>
      </c>
      <c r="D76" s="12" t="s">
        <v>137</v>
      </c>
      <c r="E76" s="13">
        <v>46113</v>
      </c>
      <c r="F76" s="11">
        <v>0</v>
      </c>
      <c r="G76" s="11">
        <v>48.66</v>
      </c>
      <c r="H76" s="11">
        <v>1</v>
      </c>
      <c r="I76" s="11">
        <v>16.7349</v>
      </c>
      <c r="J76" s="11">
        <v>98.804199999999994</v>
      </c>
      <c r="K76" s="11">
        <v>0</v>
      </c>
      <c r="L76" s="15">
        <f t="shared" si="1"/>
        <v>4.4236363636363629</v>
      </c>
      <c r="M76" s="14">
        <f>IF(Tabla15[[#This Row],[COMBUSTIBLE]]="PETRÓLEO",L76*$Q$2,L76*$Q$4)</f>
        <v>6856.6363636363621</v>
      </c>
      <c r="N76" s="12" t="str">
        <f>IF(OR(WEEKDAY(Tabla15[[#This Row],[Fecha]],2)=6,WEEKDAY(Tabla15[[#This Row],[Fecha]],2)=7),"Fin de semana","Semana")</f>
        <v>Semana</v>
      </c>
    </row>
    <row r="77" spans="1:14" ht="12.75" customHeight="1" x14ac:dyDescent="0.25">
      <c r="A77" s="11" t="str">
        <f>_xlfn.XLOOKUP(Tabla15[[#This Row],[GPS]],Hoja3!A:A,Hoja3!B:B)</f>
        <v>CAMIONETA</v>
      </c>
      <c r="B77" s="11" t="str">
        <f>_xlfn.XLOOKUP(GPS!D77,Hoja3!A:A,Hoja3!D:D)</f>
        <v>BENCINA</v>
      </c>
      <c r="C77" s="12" t="str">
        <f>_xlfn.XLOOKUP(Tabla15[[#This Row],[GPS]],Hoja3!A:A,Hoja3!C:C)</f>
        <v>VG GERARDO</v>
      </c>
      <c r="D77" s="12" t="s">
        <v>118</v>
      </c>
      <c r="E77" s="13">
        <v>46113</v>
      </c>
      <c r="F77" s="11">
        <v>0</v>
      </c>
      <c r="G77" s="11">
        <v>124.28</v>
      </c>
      <c r="H77" s="11">
        <v>1</v>
      </c>
      <c r="I77" s="11">
        <v>29.566600000000001</v>
      </c>
      <c r="J77" s="11">
        <v>105.0001</v>
      </c>
      <c r="K77" s="11">
        <v>0</v>
      </c>
      <c r="L77" s="15">
        <f t="shared" si="1"/>
        <v>11.298181818181819</v>
      </c>
      <c r="M77" s="14">
        <f>IF(Tabla15[[#This Row],[COMBUSTIBLE]]="PETRÓLEO",L77*$Q$2,L77*$Q$4)</f>
        <v>17512.18181818182</v>
      </c>
      <c r="N77" s="12" t="str">
        <f>IF(OR(WEEKDAY(Tabla15[[#This Row],[Fecha]],2)=6,WEEKDAY(Tabla15[[#This Row],[Fecha]],2)=7),"Fin de semana","Semana")</f>
        <v>Semana</v>
      </c>
    </row>
    <row r="78" spans="1:14" ht="12.75" customHeight="1" x14ac:dyDescent="0.25">
      <c r="A78" s="11" t="str">
        <f>_xlfn.XLOOKUP(Tabla15[[#This Row],[GPS]],Hoja3!A:A,Hoja3!B:B)</f>
        <v>TRACTOR</v>
      </c>
      <c r="B78" s="11" t="str">
        <f>_xlfn.XLOOKUP(GPS!D78,Hoja3!A:A,Hoja3!D:D)</f>
        <v>PETRÓLEO</v>
      </c>
      <c r="C78" s="12" t="str">
        <f>_xlfn.XLOOKUP(Tabla15[[#This Row],[GPS]],Hoja3!A:A,Hoja3!C:C)</f>
        <v>TA02</v>
      </c>
      <c r="D78" s="12" t="s">
        <v>30</v>
      </c>
      <c r="E78" s="13">
        <v>46118</v>
      </c>
      <c r="F78" s="11">
        <v>8.8994</v>
      </c>
      <c r="G78" s="11">
        <v>10.84</v>
      </c>
      <c r="H78" s="11">
        <v>1</v>
      </c>
      <c r="I78" s="11">
        <v>5.7884000000000002</v>
      </c>
      <c r="J78" s="11">
        <v>37.132599999999996</v>
      </c>
      <c r="K78" s="11">
        <v>1.1100000000000001</v>
      </c>
      <c r="L78" s="15">
        <f t="shared" si="1"/>
        <v>1.8066666666666666</v>
      </c>
      <c r="M78" s="14">
        <f>IF(Tabla15[[#This Row],[COMBUSTIBLE]]="PETRÓLEO",L78*$Q$2,L78*$Q$4)</f>
        <v>2169.8066666666668</v>
      </c>
      <c r="N78" s="12" t="str">
        <f>IF(OR(WEEKDAY(Tabla15[[#This Row],[Fecha]],2)=6,WEEKDAY(Tabla15[[#This Row],[Fecha]],2)=7),"Fin de semana","Semana")</f>
        <v>Semana</v>
      </c>
    </row>
    <row r="79" spans="1:14" ht="12.75" customHeight="1" x14ac:dyDescent="0.25">
      <c r="A79" s="11" t="str">
        <f>_xlfn.XLOOKUP(Tabla15[[#This Row],[GPS]],Hoja3!A:A,Hoja3!B:B)</f>
        <v>TRACTOR</v>
      </c>
      <c r="B79" s="11" t="str">
        <f>_xlfn.XLOOKUP(GPS!D79,Hoja3!A:A,Hoja3!D:D)</f>
        <v>PETRÓLEO</v>
      </c>
      <c r="C79" s="12" t="str">
        <f>_xlfn.XLOOKUP(Tabla15[[#This Row],[GPS]],Hoja3!A:A,Hoja3!C:C)</f>
        <v>TA01</v>
      </c>
      <c r="D79" s="12" t="s">
        <v>29</v>
      </c>
      <c r="E79" s="13">
        <v>46118</v>
      </c>
      <c r="F79" s="11">
        <v>6.9725000000000001</v>
      </c>
      <c r="G79" s="11">
        <v>31.13</v>
      </c>
      <c r="H79" s="11">
        <v>1</v>
      </c>
      <c r="I79" s="11">
        <v>6.6063000000000001</v>
      </c>
      <c r="J79" s="11">
        <v>33.261899999999997</v>
      </c>
      <c r="K79" s="11">
        <v>0.87</v>
      </c>
      <c r="L79" s="15">
        <f t="shared" si="1"/>
        <v>5.1883333333333335</v>
      </c>
      <c r="M79" s="14">
        <f>IF(Tabla15[[#This Row],[COMBUSTIBLE]]="PETRÓLEO",L79*$Q$2,L79*$Q$4)</f>
        <v>6231.1883333333335</v>
      </c>
      <c r="N79" s="12" t="str">
        <f>IF(OR(WEEKDAY(Tabla15[[#This Row],[Fecha]],2)=6,WEEKDAY(Tabla15[[#This Row],[Fecha]],2)=7),"Fin de semana","Semana")</f>
        <v>Semana</v>
      </c>
    </row>
    <row r="80" spans="1:14" ht="12.75" customHeight="1" x14ac:dyDescent="0.25">
      <c r="A80" s="11" t="str">
        <f>_xlfn.XLOOKUP(Tabla15[[#This Row],[GPS]],Hoja3!A:A,Hoja3!B:B)</f>
        <v>TRACTOR</v>
      </c>
      <c r="B80" s="11" t="str">
        <f>_xlfn.XLOOKUP(GPS!D80,Hoja3!A:A,Hoja3!D:D)</f>
        <v>PETRÓLEO</v>
      </c>
      <c r="C80" s="12" t="str">
        <f>_xlfn.XLOOKUP(Tabla15[[#This Row],[GPS]],Hoja3!A:A,Hoja3!C:C)</f>
        <v>T13</v>
      </c>
      <c r="D80" s="12" t="s">
        <v>19</v>
      </c>
      <c r="E80" s="13">
        <v>46118</v>
      </c>
      <c r="F80" s="11">
        <v>6.8060999999999998</v>
      </c>
      <c r="G80" s="11">
        <v>33.32</v>
      </c>
      <c r="H80" s="11">
        <v>1</v>
      </c>
      <c r="I80" s="11">
        <v>9.2475000000000005</v>
      </c>
      <c r="J80" s="11">
        <v>36.780700000000003</v>
      </c>
      <c r="K80" s="11">
        <v>0.85</v>
      </c>
      <c r="L80" s="15">
        <f t="shared" si="1"/>
        <v>5.5533333333333337</v>
      </c>
      <c r="M80" s="14">
        <f>IF(Tabla15[[#This Row],[COMBUSTIBLE]]="PETRÓLEO",L80*$Q$2,L80*$Q$4)</f>
        <v>6669.5533333333342</v>
      </c>
      <c r="N80" s="12" t="str">
        <f>IF(OR(WEEKDAY(Tabla15[[#This Row],[Fecha]],2)=6,WEEKDAY(Tabla15[[#This Row],[Fecha]],2)=7),"Fin de semana","Semana")</f>
        <v>Semana</v>
      </c>
    </row>
    <row r="81" spans="1:14" ht="12.75" customHeight="1" x14ac:dyDescent="0.25">
      <c r="A81" s="11" t="str">
        <f>_xlfn.XLOOKUP(Tabla15[[#This Row],[GPS]],Hoja3!A:A,Hoja3!B:B)</f>
        <v>TRACTOR</v>
      </c>
      <c r="B81" s="11" t="str">
        <f>_xlfn.XLOOKUP(GPS!D81,Hoja3!A:A,Hoja3!D:D)</f>
        <v>PETRÓLEO</v>
      </c>
      <c r="C81" s="12" t="str">
        <f>_xlfn.XLOOKUP(Tabla15[[#This Row],[GPS]],Hoja3!A:A,Hoja3!C:C)</f>
        <v>T9</v>
      </c>
      <c r="D81" s="12" t="s">
        <v>28</v>
      </c>
      <c r="E81" s="13">
        <v>46118</v>
      </c>
      <c r="F81" s="11">
        <v>5.5406000000000004</v>
      </c>
      <c r="G81" s="11">
        <v>10.67</v>
      </c>
      <c r="H81" s="11">
        <v>1</v>
      </c>
      <c r="I81" s="11">
        <v>5.0288000000000004</v>
      </c>
      <c r="J81" s="11">
        <v>20.835000000000001</v>
      </c>
      <c r="K81" s="11">
        <v>0.69</v>
      </c>
      <c r="L81" s="15">
        <f t="shared" si="1"/>
        <v>1.7783333333333333</v>
      </c>
      <c r="M81" s="14">
        <f>IF(Tabla15[[#This Row],[COMBUSTIBLE]]="PETRÓLEO",L81*$Q$2,L81*$Q$4)</f>
        <v>2135.7783333333332</v>
      </c>
      <c r="N81" s="12" t="str">
        <f>IF(OR(WEEKDAY(Tabla15[[#This Row],[Fecha]],2)=6,WEEKDAY(Tabla15[[#This Row],[Fecha]],2)=7),"Fin de semana","Semana")</f>
        <v>Semana</v>
      </c>
    </row>
    <row r="82" spans="1:14" ht="12.75" customHeight="1" x14ac:dyDescent="0.25">
      <c r="A82" s="11" t="str">
        <f>_xlfn.XLOOKUP(Tabla15[[#This Row],[GPS]],Hoja3!A:A,Hoja3!B:B)</f>
        <v>TRACTOR</v>
      </c>
      <c r="B82" s="11" t="str">
        <f>_xlfn.XLOOKUP(GPS!D82,Hoja3!A:A,Hoja3!D:D)</f>
        <v>PETRÓLEO</v>
      </c>
      <c r="C82" s="12" t="str">
        <f>_xlfn.XLOOKUP(Tabla15[[#This Row],[GPS]],Hoja3!A:A,Hoja3!C:C)</f>
        <v>T14</v>
      </c>
      <c r="D82" s="12" t="s">
        <v>21</v>
      </c>
      <c r="E82" s="13">
        <v>46118</v>
      </c>
      <c r="F82" s="11">
        <v>5.2664</v>
      </c>
      <c r="G82" s="11">
        <v>51.31</v>
      </c>
      <c r="H82" s="11">
        <v>1</v>
      </c>
      <c r="I82" s="11">
        <v>14.390499999999999</v>
      </c>
      <c r="J82" s="11">
        <v>45.151800000000001</v>
      </c>
      <c r="K82" s="11">
        <v>0.66</v>
      </c>
      <c r="L82" s="15">
        <f t="shared" si="1"/>
        <v>8.5516666666666676</v>
      </c>
      <c r="M82" s="14">
        <f>IF(Tabla15[[#This Row],[COMBUSTIBLE]]="PETRÓLEO",L82*$Q$2,L82*$Q$4)</f>
        <v>10270.551666666668</v>
      </c>
      <c r="N82" s="12" t="str">
        <f>IF(OR(WEEKDAY(Tabla15[[#This Row],[Fecha]],2)=6,WEEKDAY(Tabla15[[#This Row],[Fecha]],2)=7),"Fin de semana","Semana")</f>
        <v>Semana</v>
      </c>
    </row>
    <row r="83" spans="1:14" ht="12.75" customHeight="1" x14ac:dyDescent="0.25">
      <c r="A83" s="11" t="str">
        <f>_xlfn.XLOOKUP(Tabla15[[#This Row],[GPS]],Hoja3!A:A,Hoja3!B:B)</f>
        <v>TRACTOR</v>
      </c>
      <c r="B83" s="11" t="str">
        <f>_xlfn.XLOOKUP(GPS!D83,Hoja3!A:A,Hoja3!D:D)</f>
        <v>PETRÓLEO</v>
      </c>
      <c r="C83" s="12" t="str">
        <f>_xlfn.XLOOKUP(Tabla15[[#This Row],[GPS]],Hoja3!A:A,Hoja3!C:C)</f>
        <v>T4</v>
      </c>
      <c r="D83" s="12" t="s">
        <v>23</v>
      </c>
      <c r="E83" s="13">
        <v>46118</v>
      </c>
      <c r="F83" s="11">
        <v>5.1519000000000004</v>
      </c>
      <c r="G83" s="11">
        <v>56.9</v>
      </c>
      <c r="H83" s="11">
        <v>1</v>
      </c>
      <c r="I83" s="11">
        <v>14.6349</v>
      </c>
      <c r="J83" s="11">
        <v>34.928699999999999</v>
      </c>
      <c r="K83" s="11">
        <v>0.64</v>
      </c>
      <c r="L83" s="15">
        <f t="shared" si="1"/>
        <v>9.4833333333333325</v>
      </c>
      <c r="M83" s="14">
        <f>IF(Tabla15[[#This Row],[COMBUSTIBLE]]="PETRÓLEO",L83*$Q$2,L83*$Q$4)</f>
        <v>11389.483333333332</v>
      </c>
      <c r="N83" s="12" t="str">
        <f>IF(OR(WEEKDAY(Tabla15[[#This Row],[Fecha]],2)=6,WEEKDAY(Tabla15[[#This Row],[Fecha]],2)=7),"Fin de semana","Semana")</f>
        <v>Semana</v>
      </c>
    </row>
    <row r="84" spans="1:14" ht="12.75" customHeight="1" x14ac:dyDescent="0.25">
      <c r="A84" s="11" t="str">
        <f>_xlfn.XLOOKUP(Tabla15[[#This Row],[GPS]],Hoja3!A:A,Hoja3!B:B)</f>
        <v>CAMIONETA</v>
      </c>
      <c r="B84" s="11" t="str">
        <f>_xlfn.XLOOKUP(GPS!D84,Hoja3!A:A,Hoja3!D:D)</f>
        <v>PETRÓLEO</v>
      </c>
      <c r="C84" s="12" t="str">
        <f>_xlfn.XLOOKUP(Tabla15[[#This Row],[GPS]],Hoja3!A:A,Hoja3!C:C)</f>
        <v>RODRIGO SALINAS</v>
      </c>
      <c r="D84" s="12" t="s">
        <v>109</v>
      </c>
      <c r="E84" s="13">
        <v>46118</v>
      </c>
      <c r="F84" s="11">
        <v>4.8844000000000003</v>
      </c>
      <c r="G84" s="11">
        <v>155.81</v>
      </c>
      <c r="H84" s="11">
        <v>1</v>
      </c>
      <c r="I84" s="11">
        <v>38.974299999999999</v>
      </c>
      <c r="J84" s="11">
        <v>230.66659999999999</v>
      </c>
      <c r="K84" s="11">
        <v>0.61</v>
      </c>
      <c r="L84" s="15">
        <f t="shared" si="1"/>
        <v>17.312222222222221</v>
      </c>
      <c r="M84" s="14">
        <f>IF(Tabla15[[#This Row],[COMBUSTIBLE]]="PETRÓLEO",L84*$Q$2,L84*$Q$4)</f>
        <v>20791.978888888887</v>
      </c>
      <c r="N84" s="12" t="str">
        <f>IF(OR(WEEKDAY(Tabla15[[#This Row],[Fecha]],2)=6,WEEKDAY(Tabla15[[#This Row],[Fecha]],2)=7),"Fin de semana","Semana")</f>
        <v>Semana</v>
      </c>
    </row>
    <row r="85" spans="1:14" ht="12.75" customHeight="1" x14ac:dyDescent="0.25">
      <c r="A85" s="11" t="str">
        <f>_xlfn.XLOOKUP(Tabla15[[#This Row],[GPS]],Hoja3!A:A,Hoja3!B:B)</f>
        <v>TRACTOR</v>
      </c>
      <c r="B85" s="11" t="str">
        <f>_xlfn.XLOOKUP(GPS!D85,Hoja3!A:A,Hoja3!D:D)</f>
        <v>PETRÓLEO</v>
      </c>
      <c r="C85" s="12" t="str">
        <f>_xlfn.XLOOKUP(Tabla15[[#This Row],[GPS]],Hoja3!A:A,Hoja3!C:C)</f>
        <v>T12</v>
      </c>
      <c r="D85" s="12" t="s">
        <v>17</v>
      </c>
      <c r="E85" s="13">
        <v>46118</v>
      </c>
      <c r="F85" s="11">
        <v>4.3772000000000002</v>
      </c>
      <c r="G85" s="11">
        <v>12.85</v>
      </c>
      <c r="H85" s="11">
        <v>1</v>
      </c>
      <c r="I85" s="11">
        <v>6.3745000000000003</v>
      </c>
      <c r="J85" s="11">
        <v>31.317299999999999</v>
      </c>
      <c r="K85" s="11">
        <v>0.55000000000000004</v>
      </c>
      <c r="L85" s="15">
        <f t="shared" si="1"/>
        <v>2.1416666666666666</v>
      </c>
      <c r="M85" s="14">
        <f>IF(Tabla15[[#This Row],[COMBUSTIBLE]]="PETRÓLEO",L85*$Q$2,L85*$Q$4)</f>
        <v>2572.1416666666664</v>
      </c>
      <c r="N85" s="12" t="str">
        <f>IF(OR(WEEKDAY(Tabla15[[#This Row],[Fecha]],2)=6,WEEKDAY(Tabla15[[#This Row],[Fecha]],2)=7),"Fin de semana","Semana")</f>
        <v>Semana</v>
      </c>
    </row>
    <row r="86" spans="1:14" ht="12.75" customHeight="1" x14ac:dyDescent="0.25">
      <c r="A86" s="11" t="str">
        <f>_xlfn.XLOOKUP(Tabla15[[#This Row],[GPS]],Hoja3!A:A,Hoja3!B:B)</f>
        <v>TRACTOR</v>
      </c>
      <c r="B86" s="11" t="str">
        <f>_xlfn.XLOOKUP(GPS!D86,Hoja3!A:A,Hoja3!D:D)</f>
        <v>PETRÓLEO</v>
      </c>
      <c r="C86" s="12" t="str">
        <f>_xlfn.XLOOKUP(Tabla15[[#This Row],[GPS]],Hoja3!A:A,Hoja3!C:C)</f>
        <v>T6</v>
      </c>
      <c r="D86" s="12" t="s">
        <v>25</v>
      </c>
      <c r="E86" s="13">
        <v>46118</v>
      </c>
      <c r="F86" s="11">
        <v>4.3411</v>
      </c>
      <c r="G86" s="11">
        <v>13.35</v>
      </c>
      <c r="H86" s="11">
        <v>1</v>
      </c>
      <c r="I86" s="11">
        <v>5.9859</v>
      </c>
      <c r="J86" s="11">
        <v>36.000100000000003</v>
      </c>
      <c r="K86" s="11">
        <v>0.54</v>
      </c>
      <c r="L86" s="15">
        <f t="shared" si="1"/>
        <v>2.2250000000000001</v>
      </c>
      <c r="M86" s="14">
        <f>IF(Tabla15[[#This Row],[COMBUSTIBLE]]="PETRÓLEO",L86*$Q$2,L86*$Q$4)</f>
        <v>2672.2249999999999</v>
      </c>
      <c r="N86" s="12" t="str">
        <f>IF(OR(WEEKDAY(Tabla15[[#This Row],[Fecha]],2)=6,WEEKDAY(Tabla15[[#This Row],[Fecha]],2)=7),"Fin de semana","Semana")</f>
        <v>Semana</v>
      </c>
    </row>
    <row r="87" spans="1:14" ht="12.75" customHeight="1" x14ac:dyDescent="0.25">
      <c r="A87" s="11" t="str">
        <f>_xlfn.XLOOKUP(Tabla15[[#This Row],[GPS]],Hoja3!A:A,Hoja3!B:B)</f>
        <v>CAMIONETA</v>
      </c>
      <c r="B87" s="11" t="str">
        <f>_xlfn.XLOOKUP(GPS!D87,Hoja3!A:A,Hoja3!D:D)</f>
        <v>PETRÓLEO</v>
      </c>
      <c r="C87" s="12" t="str">
        <f>_xlfn.XLOOKUP(Tabla15[[#This Row],[GPS]],Hoja3!A:A,Hoja3!C:C)</f>
        <v>CAMPO RULO</v>
      </c>
      <c r="D87" s="12" t="s">
        <v>135</v>
      </c>
      <c r="E87" s="13">
        <v>46118</v>
      </c>
      <c r="F87" s="11">
        <v>3.3016999999999999</v>
      </c>
      <c r="G87" s="11">
        <v>82.07</v>
      </c>
      <c r="H87" s="11">
        <v>1</v>
      </c>
      <c r="I87" s="11">
        <v>32.747300000000003</v>
      </c>
      <c r="J87" s="11">
        <v>97.859700000000004</v>
      </c>
      <c r="K87" s="11">
        <v>0.41</v>
      </c>
      <c r="L87" s="15">
        <f t="shared" si="1"/>
        <v>9.1188888888888879</v>
      </c>
      <c r="M87" s="14">
        <f>IF(Tabla15[[#This Row],[COMBUSTIBLE]]="PETRÓLEO",L87*$Q$2,L87*$Q$4)</f>
        <v>10951.785555555554</v>
      </c>
      <c r="N87" s="12" t="str">
        <f>IF(OR(WEEKDAY(Tabla15[[#This Row],[Fecha]],2)=6,WEEKDAY(Tabla15[[#This Row],[Fecha]],2)=7),"Fin de semana","Semana")</f>
        <v>Semana</v>
      </c>
    </row>
    <row r="88" spans="1:14" ht="12.75" customHeight="1" x14ac:dyDescent="0.25">
      <c r="A88" s="11" t="str">
        <f>_xlfn.XLOOKUP(Tabla15[[#This Row],[GPS]],Hoja3!A:A,Hoja3!B:B)</f>
        <v>CAMIONETA</v>
      </c>
      <c r="B88" s="11" t="str">
        <f>_xlfn.XLOOKUP(GPS!D88,Hoja3!A:A,Hoja3!D:D)</f>
        <v>PETRÓLEO</v>
      </c>
      <c r="C88" s="12" t="str">
        <f>_xlfn.XLOOKUP(Tabla15[[#This Row],[GPS]],Hoja3!A:A,Hoja3!C:C)</f>
        <v>CAMPO CERRILLOS</v>
      </c>
      <c r="D88" s="12" t="s">
        <v>121</v>
      </c>
      <c r="E88" s="13">
        <v>46118</v>
      </c>
      <c r="F88" s="11">
        <v>3.0236000000000001</v>
      </c>
      <c r="G88" s="11">
        <v>20.55</v>
      </c>
      <c r="H88" s="11">
        <v>1</v>
      </c>
      <c r="I88" s="11">
        <v>14.443099999999999</v>
      </c>
      <c r="J88" s="11">
        <v>36.2622</v>
      </c>
      <c r="K88" s="11">
        <v>0.38</v>
      </c>
      <c r="L88" s="15">
        <f t="shared" si="1"/>
        <v>2.2833333333333332</v>
      </c>
      <c r="M88" s="14">
        <f>IF(Tabla15[[#This Row],[COMBUSTIBLE]]="PETRÓLEO",L88*$Q$2,L88*$Q$4)</f>
        <v>2742.2833333333333</v>
      </c>
      <c r="N88" s="12" t="str">
        <f>IF(OR(WEEKDAY(Tabla15[[#This Row],[Fecha]],2)=6,WEEKDAY(Tabla15[[#This Row],[Fecha]],2)=7),"Fin de semana","Semana")</f>
        <v>Semana</v>
      </c>
    </row>
    <row r="89" spans="1:14" ht="12.75" customHeight="1" x14ac:dyDescent="0.25">
      <c r="A89" s="11" t="str">
        <f>_xlfn.XLOOKUP(Tabla15[[#This Row],[GPS]],Hoja3!A:A,Hoja3!B:B)</f>
        <v>TRACTOR</v>
      </c>
      <c r="B89" s="11" t="str">
        <f>_xlfn.XLOOKUP(GPS!D89,Hoja3!A:A,Hoja3!D:D)</f>
        <v>PETRÓLEO</v>
      </c>
      <c r="C89" s="12" t="str">
        <f>_xlfn.XLOOKUP(Tabla15[[#This Row],[GPS]],Hoja3!A:A,Hoja3!C:C)</f>
        <v>T5</v>
      </c>
      <c r="D89" s="12" t="s">
        <v>24</v>
      </c>
      <c r="E89" s="13">
        <v>46118</v>
      </c>
      <c r="F89" s="11">
        <v>2.2383000000000002</v>
      </c>
      <c r="G89" s="11">
        <v>16.73</v>
      </c>
      <c r="H89" s="11">
        <v>1</v>
      </c>
      <c r="I89" s="11">
        <v>9.4480000000000004</v>
      </c>
      <c r="J89" s="11">
        <v>29.539400000000001</v>
      </c>
      <c r="K89" s="11">
        <v>0.28000000000000003</v>
      </c>
      <c r="L89" s="15">
        <f t="shared" si="1"/>
        <v>2.7883333333333336</v>
      </c>
      <c r="M89" s="14">
        <f>IF(Tabla15[[#This Row],[COMBUSTIBLE]]="PETRÓLEO",L89*$Q$2,L89*$Q$4)</f>
        <v>3348.7883333333334</v>
      </c>
      <c r="N89" s="12" t="str">
        <f>IF(OR(WEEKDAY(Tabla15[[#This Row],[Fecha]],2)=6,WEEKDAY(Tabla15[[#This Row],[Fecha]],2)=7),"Fin de semana","Semana")</f>
        <v>Semana</v>
      </c>
    </row>
    <row r="90" spans="1:14" ht="12.75" customHeight="1" x14ac:dyDescent="0.25">
      <c r="A90" s="11" t="str">
        <f>_xlfn.XLOOKUP(Tabla15[[#This Row],[GPS]],Hoja3!A:A,Hoja3!B:B)</f>
        <v>TRACTOR</v>
      </c>
      <c r="B90" s="11" t="str">
        <f>_xlfn.XLOOKUP(GPS!D90,Hoja3!A:A,Hoja3!D:D)</f>
        <v>PETRÓLEO</v>
      </c>
      <c r="C90" s="12" t="str">
        <f>_xlfn.XLOOKUP(Tabla15[[#This Row],[GPS]],Hoja3!A:A,Hoja3!C:C)</f>
        <v>T7</v>
      </c>
      <c r="D90" s="12" t="s">
        <v>26</v>
      </c>
      <c r="E90" s="13">
        <v>46118</v>
      </c>
      <c r="F90" s="11">
        <v>1.6086</v>
      </c>
      <c r="G90" s="11">
        <v>6.09</v>
      </c>
      <c r="H90" s="11">
        <v>1</v>
      </c>
      <c r="I90" s="11">
        <v>8.0602999999999998</v>
      </c>
      <c r="J90" s="11">
        <v>27.872599999999998</v>
      </c>
      <c r="K90" s="11">
        <v>0.2</v>
      </c>
      <c r="L90" s="15">
        <f t="shared" si="1"/>
        <v>1.0149999999999999</v>
      </c>
      <c r="M90" s="14">
        <f>IF(Tabla15[[#This Row],[COMBUSTIBLE]]="PETRÓLEO",L90*$Q$2,L90*$Q$4)</f>
        <v>1219.0149999999999</v>
      </c>
      <c r="N90" s="12" t="str">
        <f>IF(OR(WEEKDAY(Tabla15[[#This Row],[Fecha]],2)=6,WEEKDAY(Tabla15[[#This Row],[Fecha]],2)=7),"Fin de semana","Semana")</f>
        <v>Semana</v>
      </c>
    </row>
    <row r="91" spans="1:14" ht="12.75" customHeight="1" x14ac:dyDescent="0.25">
      <c r="A91" s="11" t="str">
        <f>_xlfn.XLOOKUP(Tabla15[[#This Row],[GPS]],Hoja3!A:A,Hoja3!B:B)</f>
        <v>CAMIONETA</v>
      </c>
      <c r="B91" s="11" t="str">
        <f>_xlfn.XLOOKUP(GPS!D91,Hoja3!A:A,Hoja3!D:D)</f>
        <v>PETRÓLEO</v>
      </c>
      <c r="C91" s="12" t="str">
        <f>_xlfn.XLOOKUP(Tabla15[[#This Row],[GPS]],Hoja3!A:A,Hoja3!C:C)</f>
        <v>CAMPO PAINE</v>
      </c>
      <c r="D91" s="12" t="s">
        <v>131</v>
      </c>
      <c r="E91" s="13">
        <v>46118</v>
      </c>
      <c r="F91" s="11">
        <v>1.05</v>
      </c>
      <c r="G91" s="11">
        <v>7.08</v>
      </c>
      <c r="H91" s="11">
        <v>1</v>
      </c>
      <c r="I91" s="11">
        <v>13.7285</v>
      </c>
      <c r="J91" s="11">
        <v>46.374099999999999</v>
      </c>
      <c r="K91" s="11">
        <v>0.13</v>
      </c>
      <c r="L91" s="15">
        <f t="shared" si="1"/>
        <v>0.78666666666666663</v>
      </c>
      <c r="M91" s="14">
        <f>IF(Tabla15[[#This Row],[COMBUSTIBLE]]="PETRÓLEO",L91*$Q$2,L91*$Q$4)</f>
        <v>944.78666666666663</v>
      </c>
      <c r="N91" s="12" t="str">
        <f>IF(OR(WEEKDAY(Tabla15[[#This Row],[Fecha]],2)=6,WEEKDAY(Tabla15[[#This Row],[Fecha]],2)=7),"Fin de semana","Semana")</f>
        <v>Semana</v>
      </c>
    </row>
    <row r="92" spans="1:14" ht="12.75" customHeight="1" x14ac:dyDescent="0.25">
      <c r="A92" s="11" t="str">
        <f>_xlfn.XLOOKUP(Tabla15[[#This Row],[GPS]],Hoja3!A:A,Hoja3!B:B)</f>
        <v>CAMIONETA</v>
      </c>
      <c r="B92" s="11" t="str">
        <f>_xlfn.XLOOKUP(GPS!D92,Hoja3!A:A,Hoja3!D:D)</f>
        <v>PETRÓLEO</v>
      </c>
      <c r="C92" s="12" t="str">
        <f>_xlfn.XLOOKUP(Tabla15[[#This Row],[GPS]],Hoja3!A:A,Hoja3!C:C)</f>
        <v>GONZALO GUERRERO</v>
      </c>
      <c r="D92" s="12" t="s">
        <v>126</v>
      </c>
      <c r="E92" s="13">
        <v>46118</v>
      </c>
      <c r="F92" s="11">
        <v>0.95440000000000003</v>
      </c>
      <c r="G92" s="11">
        <v>24.84</v>
      </c>
      <c r="H92" s="11">
        <v>1</v>
      </c>
      <c r="I92" s="11">
        <v>30.762599999999999</v>
      </c>
      <c r="J92" s="11">
        <v>114.30540000000001</v>
      </c>
      <c r="K92" s="11">
        <v>0.12</v>
      </c>
      <c r="L92" s="15">
        <f t="shared" si="1"/>
        <v>2.76</v>
      </c>
      <c r="M92" s="14">
        <f>IF(Tabla15[[#This Row],[COMBUSTIBLE]]="PETRÓLEO",L92*$Q$2,L92*$Q$4)</f>
        <v>3314.7599999999998</v>
      </c>
      <c r="N92" s="12" t="str">
        <f>IF(OR(WEEKDAY(Tabla15[[#This Row],[Fecha]],2)=6,WEEKDAY(Tabla15[[#This Row],[Fecha]],2)=7),"Fin de semana","Semana")</f>
        <v>Semana</v>
      </c>
    </row>
    <row r="93" spans="1:14" ht="12.75" customHeight="1" x14ac:dyDescent="0.25">
      <c r="A93" s="11" t="str">
        <f>_xlfn.XLOOKUP(Tabla15[[#This Row],[GPS]],Hoja3!A:A,Hoja3!B:B)</f>
        <v>TRACTOR</v>
      </c>
      <c r="B93" s="11" t="str">
        <f>_xlfn.XLOOKUP(GPS!D93,Hoja3!A:A,Hoja3!D:D)</f>
        <v>PETRÓLEO</v>
      </c>
      <c r="C93" s="12" t="str">
        <f>_xlfn.XLOOKUP(Tabla15[[#This Row],[GPS]],Hoja3!A:A,Hoja3!C:C)</f>
        <v>T8</v>
      </c>
      <c r="D93" s="12" t="s">
        <v>27</v>
      </c>
      <c r="E93" s="13">
        <v>46118</v>
      </c>
      <c r="F93" s="11">
        <v>0.40029999999999999</v>
      </c>
      <c r="G93" s="11">
        <v>0.01</v>
      </c>
      <c r="H93" s="11">
        <v>0</v>
      </c>
      <c r="I93" s="11">
        <v>2.1372</v>
      </c>
      <c r="J93" s="11">
        <v>11.204599999999999</v>
      </c>
      <c r="K93" s="11">
        <v>0.05</v>
      </c>
      <c r="L93" s="15">
        <f t="shared" si="1"/>
        <v>1.6666666666666668E-3</v>
      </c>
      <c r="M93" s="14">
        <f>IF(Tabla15[[#This Row],[COMBUSTIBLE]]="PETRÓLEO",L93*$Q$2,L93*$Q$4)</f>
        <v>2.0016666666666669</v>
      </c>
      <c r="N93" s="12" t="str">
        <f>IF(OR(WEEKDAY(Tabla15[[#This Row],[Fecha]],2)=6,WEEKDAY(Tabla15[[#This Row],[Fecha]],2)=7),"Fin de semana","Semana")</f>
        <v>Semana</v>
      </c>
    </row>
    <row r="94" spans="1:14" ht="12.75" customHeight="1" x14ac:dyDescent="0.25">
      <c r="A94" s="11" t="str">
        <f>_xlfn.XLOOKUP(Tabla15[[#This Row],[GPS]],Hoja3!A:A,Hoja3!B:B)</f>
        <v>TRACTOR</v>
      </c>
      <c r="B94" s="11" t="str">
        <f>_xlfn.XLOOKUP(GPS!D94,Hoja3!A:A,Hoja3!D:D)</f>
        <v>PETRÓLEO</v>
      </c>
      <c r="C94" s="12" t="str">
        <f>_xlfn.XLOOKUP(Tabla15[[#This Row],[GPS]],Hoja3!A:A,Hoja3!C:C)</f>
        <v>T10</v>
      </c>
      <c r="D94" s="12" t="s">
        <v>14</v>
      </c>
      <c r="E94" s="13">
        <v>46118</v>
      </c>
      <c r="F94" s="11">
        <v>0.23780000000000001</v>
      </c>
      <c r="G94" s="11">
        <v>0.03</v>
      </c>
      <c r="H94" s="11">
        <v>0</v>
      </c>
      <c r="I94" s="11">
        <v>3.1314000000000002</v>
      </c>
      <c r="J94" s="11">
        <v>15.167899999999999</v>
      </c>
      <c r="K94" s="11">
        <v>0.03</v>
      </c>
      <c r="L94" s="15">
        <f t="shared" si="1"/>
        <v>5.0000000000000001E-3</v>
      </c>
      <c r="M94" s="14">
        <f>IF(Tabla15[[#This Row],[COMBUSTIBLE]]="PETRÓLEO",L94*$Q$2,L94*$Q$4)</f>
        <v>6.0049999999999999</v>
      </c>
      <c r="N94" s="12" t="str">
        <f>IF(OR(WEEKDAY(Tabla15[[#This Row],[Fecha]],2)=6,WEEKDAY(Tabla15[[#This Row],[Fecha]],2)=7),"Fin de semana","Semana")</f>
        <v>Semana</v>
      </c>
    </row>
    <row r="95" spans="1:14" ht="12.75" customHeight="1" x14ac:dyDescent="0.25">
      <c r="A95" s="11" t="str">
        <f>_xlfn.XLOOKUP(Tabla15[[#This Row],[GPS]],Hoja3!A:A,Hoja3!B:B)</f>
        <v>CAMIONETA</v>
      </c>
      <c r="B95" s="11" t="str">
        <f>_xlfn.XLOOKUP(GPS!D95,Hoja3!A:A,Hoja3!D:D)</f>
        <v>BENCINA</v>
      </c>
      <c r="C95" s="12" t="str">
        <f>_xlfn.XLOOKUP(Tabla15[[#This Row],[GPS]],Hoja3!A:A,Hoja3!C:C)</f>
        <v>VG GERARDO</v>
      </c>
      <c r="D95" s="12" t="s">
        <v>118</v>
      </c>
      <c r="E95" s="13">
        <v>46118</v>
      </c>
      <c r="F95" s="11">
        <v>0</v>
      </c>
      <c r="G95" s="11">
        <v>75.319999999999993</v>
      </c>
      <c r="H95" s="11">
        <v>1</v>
      </c>
      <c r="I95" s="11">
        <v>26.949000000000002</v>
      </c>
      <c r="J95" s="11">
        <v>84.000100000000003</v>
      </c>
      <c r="K95" s="11">
        <v>0</v>
      </c>
      <c r="L95" s="15">
        <f t="shared" si="1"/>
        <v>6.8472727272727267</v>
      </c>
      <c r="M95" s="14">
        <f>IF(Tabla15[[#This Row],[COMBUSTIBLE]]="PETRÓLEO",L95*$Q$2,L95*$Q$4)</f>
        <v>10613.272727272726</v>
      </c>
      <c r="N95" s="12" t="str">
        <f>IF(OR(WEEKDAY(Tabla15[[#This Row],[Fecha]],2)=6,WEEKDAY(Tabla15[[#This Row],[Fecha]],2)=7),"Fin de semana","Semana")</f>
        <v>Semana</v>
      </c>
    </row>
    <row r="96" spans="1:14" ht="12.75" customHeight="1" x14ac:dyDescent="0.25">
      <c r="A96" s="11" t="str">
        <f>_xlfn.XLOOKUP(Tabla15[[#This Row],[GPS]],Hoja3!A:A,Hoja3!B:B)</f>
        <v>CAMIONETA</v>
      </c>
      <c r="B96" s="11" t="str">
        <f>_xlfn.XLOOKUP(GPS!D96,Hoja3!A:A,Hoja3!D:D)</f>
        <v>BENCINA</v>
      </c>
      <c r="C96" s="12" t="str">
        <f>_xlfn.XLOOKUP(Tabla15[[#This Row],[GPS]],Hoja3!A:A,Hoja3!C:C)</f>
        <v>VG PIÑALEO</v>
      </c>
      <c r="D96" s="12" t="s">
        <v>114</v>
      </c>
      <c r="E96" s="13">
        <v>46118</v>
      </c>
      <c r="F96" s="11">
        <v>0</v>
      </c>
      <c r="G96" s="11">
        <v>48.51</v>
      </c>
      <c r="H96" s="11">
        <v>1</v>
      </c>
      <c r="I96" s="11">
        <v>31.263100000000001</v>
      </c>
      <c r="J96" s="11">
        <v>80.784199999999998</v>
      </c>
      <c r="K96" s="11">
        <v>0</v>
      </c>
      <c r="L96" s="15">
        <f t="shared" si="1"/>
        <v>4.41</v>
      </c>
      <c r="M96" s="14">
        <f>IF(Tabla15[[#This Row],[COMBUSTIBLE]]="PETRÓLEO",L96*$Q$2,L96*$Q$4)</f>
        <v>6835.5</v>
      </c>
      <c r="N96" s="12" t="str">
        <f>IF(OR(WEEKDAY(Tabla15[[#This Row],[Fecha]],2)=6,WEEKDAY(Tabla15[[#This Row],[Fecha]],2)=7),"Fin de semana","Semana")</f>
        <v>Semana</v>
      </c>
    </row>
    <row r="97" spans="1:14" ht="12.75" customHeight="1" x14ac:dyDescent="0.25">
      <c r="A97" s="11" t="str">
        <f>_xlfn.XLOOKUP(Tabla15[[#This Row],[GPS]],Hoja3!A:A,Hoja3!B:B)</f>
        <v>CAMIONETA</v>
      </c>
      <c r="B97" s="11" t="str">
        <f>_xlfn.XLOOKUP(GPS!D97,Hoja3!A:A,Hoja3!D:D)</f>
        <v>PETRÓLEO</v>
      </c>
      <c r="C97" s="12" t="str">
        <f>_xlfn.XLOOKUP(Tabla15[[#This Row],[GPS]],Hoja3!A:A,Hoja3!C:C)</f>
        <v>SERGIO ROJAS</v>
      </c>
      <c r="D97" s="12" t="s">
        <v>128</v>
      </c>
      <c r="E97" s="13">
        <v>46118</v>
      </c>
      <c r="F97" s="11">
        <v>0</v>
      </c>
      <c r="G97" s="11">
        <v>50.16</v>
      </c>
      <c r="H97" s="11">
        <v>1</v>
      </c>
      <c r="I97" s="11">
        <v>21.482700000000001</v>
      </c>
      <c r="J97" s="11">
        <v>73.000100000000003</v>
      </c>
      <c r="K97" s="11">
        <v>0</v>
      </c>
      <c r="L97" s="15">
        <f t="shared" si="1"/>
        <v>5.5733333333333333</v>
      </c>
      <c r="M97" s="14">
        <f>IF(Tabla15[[#This Row],[COMBUSTIBLE]]="PETRÓLEO",L97*$Q$2,L97*$Q$4)</f>
        <v>6693.5733333333328</v>
      </c>
      <c r="N97" s="12" t="str">
        <f>IF(OR(WEEKDAY(Tabla15[[#This Row],[Fecha]],2)=6,WEEKDAY(Tabla15[[#This Row],[Fecha]],2)=7),"Fin de semana","Semana")</f>
        <v>Semana</v>
      </c>
    </row>
    <row r="98" spans="1:14" ht="12.75" customHeight="1" x14ac:dyDescent="0.25">
      <c r="A98" s="11" t="str">
        <f>_xlfn.XLOOKUP(Tabla15[[#This Row],[GPS]],Hoja3!A:A,Hoja3!B:B)</f>
        <v>CAMIONETA</v>
      </c>
      <c r="B98" s="11" t="str">
        <f>_xlfn.XLOOKUP(GPS!D98,Hoja3!A:A,Hoja3!D:D)</f>
        <v>BENCINA</v>
      </c>
      <c r="C98" s="12" t="str">
        <f>_xlfn.XLOOKUP(Tabla15[[#This Row],[GPS]],Hoja3!A:A,Hoja3!C:C)</f>
        <v>VG CERRILLOS</v>
      </c>
      <c r="D98" s="12" t="s">
        <v>137</v>
      </c>
      <c r="E98" s="13">
        <v>46118</v>
      </c>
      <c r="F98" s="11">
        <v>0</v>
      </c>
      <c r="G98" s="11">
        <v>43.13</v>
      </c>
      <c r="H98" s="11">
        <v>1</v>
      </c>
      <c r="I98" s="11">
        <v>15.529199999999999</v>
      </c>
      <c r="J98" s="11">
        <v>61.000100000000003</v>
      </c>
      <c r="K98" s="11">
        <v>0</v>
      </c>
      <c r="L98" s="15">
        <f t="shared" si="1"/>
        <v>3.9209090909090913</v>
      </c>
      <c r="M98" s="14">
        <f>IF(Tabla15[[#This Row],[COMBUSTIBLE]]="PETRÓLEO",L98*$Q$2,L98*$Q$4)</f>
        <v>6077.4090909090919</v>
      </c>
      <c r="N98" s="12" t="str">
        <f>IF(OR(WEEKDAY(Tabla15[[#This Row],[Fecha]],2)=6,WEEKDAY(Tabla15[[#This Row],[Fecha]],2)=7),"Fin de semana","Semana")</f>
        <v>Semana</v>
      </c>
    </row>
    <row r="99" spans="1:14" ht="12.75" customHeight="1" x14ac:dyDescent="0.25">
      <c r="A99" s="11" t="str">
        <f>_xlfn.XLOOKUP(Tabla15[[#This Row],[GPS]],Hoja3!A:A,Hoja3!B:B)</f>
        <v>TRACTOR</v>
      </c>
      <c r="B99" s="11" t="str">
        <f>_xlfn.XLOOKUP(GPS!D99,Hoja3!A:A,Hoja3!D:D)</f>
        <v>PETRÓLEO</v>
      </c>
      <c r="C99" s="12" t="str">
        <f>_xlfn.XLOOKUP(Tabla15[[#This Row],[GPS]],Hoja3!A:A,Hoja3!C:C)</f>
        <v>T7</v>
      </c>
      <c r="D99" s="12" t="s">
        <v>26</v>
      </c>
      <c r="E99" s="13">
        <v>46119</v>
      </c>
      <c r="F99" s="11">
        <v>8.375</v>
      </c>
      <c r="G99" s="11">
        <v>9.51</v>
      </c>
      <c r="H99" s="11">
        <v>1</v>
      </c>
      <c r="I99" s="11">
        <v>16.793700000000001</v>
      </c>
      <c r="J99" s="11">
        <v>57.689799999999998</v>
      </c>
      <c r="K99" s="11">
        <v>1.05</v>
      </c>
      <c r="L99" s="15">
        <f t="shared" si="1"/>
        <v>1.585</v>
      </c>
      <c r="M99" s="14">
        <f>IF(Tabla15[[#This Row],[COMBUSTIBLE]]="PETRÓLEO",L99*$Q$2,L99*$Q$4)</f>
        <v>1903.585</v>
      </c>
      <c r="N99" s="12" t="str">
        <f>IF(OR(WEEKDAY(Tabla15[[#This Row],[Fecha]],2)=6,WEEKDAY(Tabla15[[#This Row],[Fecha]],2)=7),"Fin de semana","Semana")</f>
        <v>Semana</v>
      </c>
    </row>
    <row r="100" spans="1:14" ht="12.75" customHeight="1" x14ac:dyDescent="0.25">
      <c r="A100" s="11" t="str">
        <f>_xlfn.XLOOKUP(Tabla15[[#This Row],[GPS]],Hoja3!A:A,Hoja3!B:B)</f>
        <v>TRACTOR</v>
      </c>
      <c r="B100" s="11" t="str">
        <f>_xlfn.XLOOKUP(GPS!D100,Hoja3!A:A,Hoja3!D:D)</f>
        <v>PETRÓLEO</v>
      </c>
      <c r="C100" s="12" t="str">
        <f>_xlfn.XLOOKUP(Tabla15[[#This Row],[GPS]],Hoja3!A:A,Hoja3!C:C)</f>
        <v>T5</v>
      </c>
      <c r="D100" s="12" t="s">
        <v>24</v>
      </c>
      <c r="E100" s="13">
        <v>46119</v>
      </c>
      <c r="F100" s="11">
        <v>7.7744</v>
      </c>
      <c r="G100" s="11">
        <v>35.24</v>
      </c>
      <c r="H100" s="11">
        <v>1</v>
      </c>
      <c r="I100" s="11">
        <v>5.3605999999999998</v>
      </c>
      <c r="J100" s="11">
        <v>33.243400000000001</v>
      </c>
      <c r="K100" s="11">
        <v>0.97</v>
      </c>
      <c r="L100" s="15">
        <f t="shared" si="1"/>
        <v>5.873333333333334</v>
      </c>
      <c r="M100" s="14">
        <f>IF(Tabla15[[#This Row],[COMBUSTIBLE]]="PETRÓLEO",L100*$Q$2,L100*$Q$4)</f>
        <v>7053.8733333333339</v>
      </c>
      <c r="N100" s="12" t="str">
        <f>IF(OR(WEEKDAY(Tabla15[[#This Row],[Fecha]],2)=6,WEEKDAY(Tabla15[[#This Row],[Fecha]],2)=7),"Fin de semana","Semana")</f>
        <v>Semana</v>
      </c>
    </row>
    <row r="101" spans="1:14" ht="12.75" customHeight="1" x14ac:dyDescent="0.25">
      <c r="A101" s="11" t="str">
        <f>_xlfn.XLOOKUP(Tabla15[[#This Row],[GPS]],Hoja3!A:A,Hoja3!B:B)</f>
        <v>TRACTOR</v>
      </c>
      <c r="B101" s="11" t="str">
        <f>_xlfn.XLOOKUP(GPS!D101,Hoja3!A:A,Hoja3!D:D)</f>
        <v>PETRÓLEO</v>
      </c>
      <c r="C101" s="12" t="str">
        <f>_xlfn.XLOOKUP(Tabla15[[#This Row],[GPS]],Hoja3!A:A,Hoja3!C:C)</f>
        <v>TA01</v>
      </c>
      <c r="D101" s="12" t="s">
        <v>29</v>
      </c>
      <c r="E101" s="13">
        <v>46119</v>
      </c>
      <c r="F101" s="11">
        <v>6.8305999999999996</v>
      </c>
      <c r="G101" s="11">
        <v>34.54</v>
      </c>
      <c r="H101" s="11">
        <v>1</v>
      </c>
      <c r="I101" s="11">
        <v>6.7431999999999999</v>
      </c>
      <c r="J101" s="11">
        <v>38.836399999999998</v>
      </c>
      <c r="K101" s="11">
        <v>0.85</v>
      </c>
      <c r="L101" s="15">
        <f t="shared" si="1"/>
        <v>5.7566666666666668</v>
      </c>
      <c r="M101" s="14">
        <f>IF(Tabla15[[#This Row],[COMBUSTIBLE]]="PETRÓLEO",L101*$Q$2,L101*$Q$4)</f>
        <v>6913.7566666666671</v>
      </c>
      <c r="N101" s="12" t="str">
        <f>IF(OR(WEEKDAY(Tabla15[[#This Row],[Fecha]],2)=6,WEEKDAY(Tabla15[[#This Row],[Fecha]],2)=7),"Fin de semana","Semana")</f>
        <v>Semana</v>
      </c>
    </row>
    <row r="102" spans="1:14" ht="12.75" customHeight="1" x14ac:dyDescent="0.25">
      <c r="A102" s="11" t="str">
        <f>_xlfn.XLOOKUP(Tabla15[[#This Row],[GPS]],Hoja3!A:A,Hoja3!B:B)</f>
        <v>TRACTOR</v>
      </c>
      <c r="B102" s="11" t="str">
        <f>_xlfn.XLOOKUP(GPS!D102,Hoja3!A:A,Hoja3!D:D)</f>
        <v>PETRÓLEO</v>
      </c>
      <c r="C102" s="12" t="str">
        <f>_xlfn.XLOOKUP(Tabla15[[#This Row],[GPS]],Hoja3!A:A,Hoja3!C:C)</f>
        <v>T14</v>
      </c>
      <c r="D102" s="12" t="s">
        <v>21</v>
      </c>
      <c r="E102" s="13">
        <v>46119</v>
      </c>
      <c r="F102" s="11">
        <v>6.7853000000000003</v>
      </c>
      <c r="G102" s="11">
        <v>64.95</v>
      </c>
      <c r="H102" s="11">
        <v>1</v>
      </c>
      <c r="I102" s="11">
        <v>13.161799999999999</v>
      </c>
      <c r="J102" s="11">
        <v>64.042199999999994</v>
      </c>
      <c r="K102" s="11">
        <v>0.85</v>
      </c>
      <c r="L102" s="15">
        <f t="shared" si="1"/>
        <v>10.825000000000001</v>
      </c>
      <c r="M102" s="14">
        <f>IF(Tabla15[[#This Row],[COMBUSTIBLE]]="PETRÓLEO",L102*$Q$2,L102*$Q$4)</f>
        <v>13000.825000000001</v>
      </c>
      <c r="N102" s="12" t="str">
        <f>IF(OR(WEEKDAY(Tabla15[[#This Row],[Fecha]],2)=6,WEEKDAY(Tabla15[[#This Row],[Fecha]],2)=7),"Fin de semana","Semana")</f>
        <v>Semana</v>
      </c>
    </row>
    <row r="103" spans="1:14" ht="12.75" customHeight="1" x14ac:dyDescent="0.25">
      <c r="A103" s="11" t="str">
        <f>_xlfn.XLOOKUP(Tabla15[[#This Row],[GPS]],Hoja3!A:A,Hoja3!B:B)</f>
        <v>TRACTOR</v>
      </c>
      <c r="B103" s="11" t="str">
        <f>_xlfn.XLOOKUP(GPS!D103,Hoja3!A:A,Hoja3!D:D)</f>
        <v>PETRÓLEO</v>
      </c>
      <c r="C103" s="12" t="str">
        <f>_xlfn.XLOOKUP(Tabla15[[#This Row],[GPS]],Hoja3!A:A,Hoja3!C:C)</f>
        <v>T4</v>
      </c>
      <c r="D103" s="12" t="s">
        <v>23</v>
      </c>
      <c r="E103" s="13">
        <v>46119</v>
      </c>
      <c r="F103" s="11">
        <v>6.6044</v>
      </c>
      <c r="G103" s="11">
        <v>59.95</v>
      </c>
      <c r="H103" s="11">
        <v>1</v>
      </c>
      <c r="I103" s="11">
        <v>10.3858</v>
      </c>
      <c r="J103" s="11">
        <v>34.336100000000002</v>
      </c>
      <c r="K103" s="11">
        <v>0.83</v>
      </c>
      <c r="L103" s="15">
        <f t="shared" si="1"/>
        <v>9.9916666666666671</v>
      </c>
      <c r="M103" s="14">
        <f>IF(Tabla15[[#This Row],[COMBUSTIBLE]]="PETRÓLEO",L103*$Q$2,L103*$Q$4)</f>
        <v>11999.991666666667</v>
      </c>
      <c r="N103" s="12" t="str">
        <f>IF(OR(WEEKDAY(Tabla15[[#This Row],[Fecha]],2)=6,WEEKDAY(Tabla15[[#This Row],[Fecha]],2)=7),"Fin de semana","Semana")</f>
        <v>Semana</v>
      </c>
    </row>
    <row r="104" spans="1:14" ht="12.75" customHeight="1" x14ac:dyDescent="0.25">
      <c r="A104" s="11" t="str">
        <f>_xlfn.XLOOKUP(Tabla15[[#This Row],[GPS]],Hoja3!A:A,Hoja3!B:B)</f>
        <v>TRACTOR</v>
      </c>
      <c r="B104" s="11" t="str">
        <f>_xlfn.XLOOKUP(GPS!D104,Hoja3!A:A,Hoja3!D:D)</f>
        <v>PETRÓLEO</v>
      </c>
      <c r="C104" s="12" t="str">
        <f>_xlfn.XLOOKUP(Tabla15[[#This Row],[GPS]],Hoja3!A:A,Hoja3!C:C)</f>
        <v>T13</v>
      </c>
      <c r="D104" s="12" t="s">
        <v>19</v>
      </c>
      <c r="E104" s="13">
        <v>46119</v>
      </c>
      <c r="F104" s="11">
        <v>5.8844000000000003</v>
      </c>
      <c r="G104" s="11">
        <v>43.16</v>
      </c>
      <c r="H104" s="11">
        <v>1</v>
      </c>
      <c r="I104" s="11">
        <v>10.9391</v>
      </c>
      <c r="J104" s="11">
        <v>42.595999999999997</v>
      </c>
      <c r="K104" s="11">
        <v>0.74</v>
      </c>
      <c r="L104" s="15">
        <f t="shared" si="1"/>
        <v>7.1933333333333325</v>
      </c>
      <c r="M104" s="14">
        <f>IF(Tabla15[[#This Row],[COMBUSTIBLE]]="PETRÓLEO",L104*$Q$2,L104*$Q$4)</f>
        <v>8639.1933333333327</v>
      </c>
      <c r="N104" s="12" t="str">
        <f>IF(OR(WEEKDAY(Tabla15[[#This Row],[Fecha]],2)=6,WEEKDAY(Tabla15[[#This Row],[Fecha]],2)=7),"Fin de semana","Semana")</f>
        <v>Semana</v>
      </c>
    </row>
    <row r="105" spans="1:14" ht="12.75" customHeight="1" x14ac:dyDescent="0.25">
      <c r="A105" s="11" t="str">
        <f>_xlfn.XLOOKUP(Tabla15[[#This Row],[GPS]],Hoja3!A:A,Hoja3!B:B)</f>
        <v>TRACTOR</v>
      </c>
      <c r="B105" s="11" t="str">
        <f>_xlfn.XLOOKUP(GPS!D105,Hoja3!A:A,Hoja3!D:D)</f>
        <v>PETRÓLEO</v>
      </c>
      <c r="C105" s="12" t="str">
        <f>_xlfn.XLOOKUP(Tabla15[[#This Row],[GPS]],Hoja3!A:A,Hoja3!C:C)</f>
        <v>T12</v>
      </c>
      <c r="D105" s="12" t="s">
        <v>17</v>
      </c>
      <c r="E105" s="13">
        <v>46119</v>
      </c>
      <c r="F105" s="11">
        <v>5.0152999999999999</v>
      </c>
      <c r="G105" s="11">
        <v>12.14</v>
      </c>
      <c r="H105" s="11">
        <v>1</v>
      </c>
      <c r="I105" s="11">
        <v>5.6761999999999997</v>
      </c>
      <c r="J105" s="11">
        <v>24.0001</v>
      </c>
      <c r="K105" s="11">
        <v>0.63</v>
      </c>
      <c r="L105" s="15">
        <f t="shared" si="1"/>
        <v>2.0233333333333334</v>
      </c>
      <c r="M105" s="14">
        <f>IF(Tabla15[[#This Row],[COMBUSTIBLE]]="PETRÓLEO",L105*$Q$2,L105*$Q$4)</f>
        <v>2430.0233333333335</v>
      </c>
      <c r="N105" s="12" t="str">
        <f>IF(OR(WEEKDAY(Tabla15[[#This Row],[Fecha]],2)=6,WEEKDAY(Tabla15[[#This Row],[Fecha]],2)=7),"Fin de semana","Semana")</f>
        <v>Semana</v>
      </c>
    </row>
    <row r="106" spans="1:14" ht="12.75" customHeight="1" x14ac:dyDescent="0.25">
      <c r="A106" s="11" t="str">
        <f>_xlfn.XLOOKUP(Tabla15[[#This Row],[GPS]],Hoja3!A:A,Hoja3!B:B)</f>
        <v>CAMIONETA</v>
      </c>
      <c r="B106" s="11" t="str">
        <f>_xlfn.XLOOKUP(GPS!D106,Hoja3!A:A,Hoja3!D:D)</f>
        <v>PETRÓLEO</v>
      </c>
      <c r="C106" s="12" t="str">
        <f>_xlfn.XLOOKUP(Tabla15[[#This Row],[GPS]],Hoja3!A:A,Hoja3!C:C)</f>
        <v>CAMPO CERRILLOS</v>
      </c>
      <c r="D106" s="12" t="s">
        <v>121</v>
      </c>
      <c r="E106" s="13">
        <v>46119</v>
      </c>
      <c r="F106" s="11">
        <v>4.83</v>
      </c>
      <c r="G106" s="11">
        <v>36.68</v>
      </c>
      <c r="H106" s="11">
        <v>1</v>
      </c>
      <c r="I106" s="11">
        <v>14.732200000000001</v>
      </c>
      <c r="J106" s="11">
        <v>67.579499999999996</v>
      </c>
      <c r="K106" s="11">
        <v>0.6</v>
      </c>
      <c r="L106" s="15">
        <f t="shared" si="1"/>
        <v>4.0755555555555558</v>
      </c>
      <c r="M106" s="14">
        <f>IF(Tabla15[[#This Row],[COMBUSTIBLE]]="PETRÓLEO",L106*$Q$2,L106*$Q$4)</f>
        <v>4894.7422222222222</v>
      </c>
      <c r="N106" s="12" t="str">
        <f>IF(OR(WEEKDAY(Tabla15[[#This Row],[Fecha]],2)=6,WEEKDAY(Tabla15[[#This Row],[Fecha]],2)=7),"Fin de semana","Semana")</f>
        <v>Semana</v>
      </c>
    </row>
    <row r="107" spans="1:14" ht="12.75" customHeight="1" x14ac:dyDescent="0.25">
      <c r="A107" s="11" t="str">
        <f>_xlfn.XLOOKUP(Tabla15[[#This Row],[GPS]],Hoja3!A:A,Hoja3!B:B)</f>
        <v>TRACTOR</v>
      </c>
      <c r="B107" s="11" t="str">
        <f>_xlfn.XLOOKUP(GPS!D107,Hoja3!A:A,Hoja3!D:D)</f>
        <v>PETRÓLEO</v>
      </c>
      <c r="C107" s="12" t="str">
        <f>_xlfn.XLOOKUP(Tabla15[[#This Row],[GPS]],Hoja3!A:A,Hoja3!C:C)</f>
        <v>T6</v>
      </c>
      <c r="D107" s="12" t="s">
        <v>25</v>
      </c>
      <c r="E107" s="13">
        <v>46119</v>
      </c>
      <c r="F107" s="11">
        <v>4.7424999999999997</v>
      </c>
      <c r="G107" s="11">
        <v>27.57</v>
      </c>
      <c r="H107" s="11">
        <v>1</v>
      </c>
      <c r="I107" s="11">
        <v>9.0655999999999999</v>
      </c>
      <c r="J107" s="11">
        <v>89.081199999999995</v>
      </c>
      <c r="K107" s="11">
        <v>0.59</v>
      </c>
      <c r="L107" s="15">
        <f t="shared" si="1"/>
        <v>4.5949999999999998</v>
      </c>
      <c r="M107" s="14">
        <f>IF(Tabla15[[#This Row],[COMBUSTIBLE]]="PETRÓLEO",L107*$Q$2,L107*$Q$4)</f>
        <v>5518.5949999999993</v>
      </c>
      <c r="N107" s="12" t="str">
        <f>IF(OR(WEEKDAY(Tabla15[[#This Row],[Fecha]],2)=6,WEEKDAY(Tabla15[[#This Row],[Fecha]],2)=7),"Fin de semana","Semana")</f>
        <v>Semana</v>
      </c>
    </row>
    <row r="108" spans="1:14" ht="12.75" customHeight="1" x14ac:dyDescent="0.25">
      <c r="A108" s="11" t="str">
        <f>_xlfn.XLOOKUP(Tabla15[[#This Row],[GPS]],Hoja3!A:A,Hoja3!B:B)</f>
        <v>CAMIONETA</v>
      </c>
      <c r="B108" s="11" t="str">
        <f>_xlfn.XLOOKUP(GPS!D108,Hoja3!A:A,Hoja3!D:D)</f>
        <v>PETRÓLEO</v>
      </c>
      <c r="C108" s="12" t="str">
        <f>_xlfn.XLOOKUP(Tabla15[[#This Row],[GPS]],Hoja3!A:A,Hoja3!C:C)</f>
        <v>RODRIGO SALINAS</v>
      </c>
      <c r="D108" s="12" t="s">
        <v>109</v>
      </c>
      <c r="E108" s="13">
        <v>46119</v>
      </c>
      <c r="F108" s="11">
        <v>4.4236000000000004</v>
      </c>
      <c r="G108" s="11">
        <v>165.89</v>
      </c>
      <c r="H108" s="11">
        <v>1</v>
      </c>
      <c r="I108" s="11">
        <v>44.968200000000003</v>
      </c>
      <c r="J108" s="11">
        <v>182.18119999999999</v>
      </c>
      <c r="K108" s="11">
        <v>0.55000000000000004</v>
      </c>
      <c r="L108" s="15">
        <f t="shared" si="1"/>
        <v>18.432222222222222</v>
      </c>
      <c r="M108" s="14">
        <f>IF(Tabla15[[#This Row],[COMBUSTIBLE]]="PETRÓLEO",L108*$Q$2,L108*$Q$4)</f>
        <v>22137.09888888889</v>
      </c>
      <c r="N108" s="12" t="str">
        <f>IF(OR(WEEKDAY(Tabla15[[#This Row],[Fecha]],2)=6,WEEKDAY(Tabla15[[#This Row],[Fecha]],2)=7),"Fin de semana","Semana")</f>
        <v>Semana</v>
      </c>
    </row>
    <row r="109" spans="1:14" ht="12.75" customHeight="1" x14ac:dyDescent="0.25">
      <c r="A109" s="11" t="str">
        <f>_xlfn.XLOOKUP(Tabla15[[#This Row],[GPS]],Hoja3!A:A,Hoja3!B:B)</f>
        <v>TRACTOR</v>
      </c>
      <c r="B109" s="11" t="str">
        <f>_xlfn.XLOOKUP(GPS!D109,Hoja3!A:A,Hoja3!D:D)</f>
        <v>PETRÓLEO</v>
      </c>
      <c r="C109" s="12" t="str">
        <f>_xlfn.XLOOKUP(Tabla15[[#This Row],[GPS]],Hoja3!A:A,Hoja3!C:C)</f>
        <v>T10</v>
      </c>
      <c r="D109" s="12" t="s">
        <v>14</v>
      </c>
      <c r="E109" s="13">
        <v>46119</v>
      </c>
      <c r="F109" s="11">
        <v>4.3422000000000001</v>
      </c>
      <c r="G109" s="11">
        <v>22.17</v>
      </c>
      <c r="H109" s="11">
        <v>1</v>
      </c>
      <c r="I109" s="11">
        <v>8.6836000000000002</v>
      </c>
      <c r="J109" s="11">
        <v>33.595300000000002</v>
      </c>
      <c r="K109" s="11">
        <v>0.54</v>
      </c>
      <c r="L109" s="15">
        <f t="shared" si="1"/>
        <v>3.6950000000000003</v>
      </c>
      <c r="M109" s="14">
        <f>IF(Tabla15[[#This Row],[COMBUSTIBLE]]="PETRÓLEO",L109*$Q$2,L109*$Q$4)</f>
        <v>4437.6950000000006</v>
      </c>
      <c r="N109" s="12" t="str">
        <f>IF(OR(WEEKDAY(Tabla15[[#This Row],[Fecha]],2)=6,WEEKDAY(Tabla15[[#This Row],[Fecha]],2)=7),"Fin de semana","Semana")</f>
        <v>Semana</v>
      </c>
    </row>
    <row r="110" spans="1:14" ht="12.75" customHeight="1" x14ac:dyDescent="0.25">
      <c r="A110" s="11" t="str">
        <f>_xlfn.XLOOKUP(Tabla15[[#This Row],[GPS]],Hoja3!A:A,Hoja3!B:B)</f>
        <v>TRACTOR</v>
      </c>
      <c r="B110" s="11" t="str">
        <f>_xlfn.XLOOKUP(GPS!D110,Hoja3!A:A,Hoja3!D:D)</f>
        <v>PETRÓLEO</v>
      </c>
      <c r="C110" s="12" t="str">
        <f>_xlfn.XLOOKUP(Tabla15[[#This Row],[GPS]],Hoja3!A:A,Hoja3!C:C)</f>
        <v>TA02</v>
      </c>
      <c r="D110" s="12" t="s">
        <v>30</v>
      </c>
      <c r="E110" s="13">
        <v>46119</v>
      </c>
      <c r="F110" s="11">
        <v>3.2208000000000001</v>
      </c>
      <c r="G110" s="11">
        <v>2.5</v>
      </c>
      <c r="H110" s="11">
        <v>1</v>
      </c>
      <c r="I110" s="11">
        <v>7.7771999999999997</v>
      </c>
      <c r="J110" s="11">
        <v>33.372999999999998</v>
      </c>
      <c r="K110" s="11">
        <v>0.4</v>
      </c>
      <c r="L110" s="15">
        <f t="shared" si="1"/>
        <v>0.41666666666666669</v>
      </c>
      <c r="M110" s="14">
        <f>IF(Tabla15[[#This Row],[COMBUSTIBLE]]="PETRÓLEO",L110*$Q$2,L110*$Q$4)</f>
        <v>500.41666666666669</v>
      </c>
      <c r="N110" s="12" t="str">
        <f>IF(OR(WEEKDAY(Tabla15[[#This Row],[Fecha]],2)=6,WEEKDAY(Tabla15[[#This Row],[Fecha]],2)=7),"Fin de semana","Semana")</f>
        <v>Semana</v>
      </c>
    </row>
    <row r="111" spans="1:14" ht="12.75" customHeight="1" x14ac:dyDescent="0.25">
      <c r="A111" s="11" t="str">
        <f>_xlfn.XLOOKUP(Tabla15[[#This Row],[GPS]],Hoja3!A:A,Hoja3!B:B)</f>
        <v>CAMIONETA</v>
      </c>
      <c r="B111" s="11" t="str">
        <f>_xlfn.XLOOKUP(GPS!D111,Hoja3!A:A,Hoja3!D:D)</f>
        <v>PETRÓLEO</v>
      </c>
      <c r="C111" s="12" t="str">
        <f>_xlfn.XLOOKUP(Tabla15[[#This Row],[GPS]],Hoja3!A:A,Hoja3!C:C)</f>
        <v>CAMPO PAINE</v>
      </c>
      <c r="D111" s="12" t="s">
        <v>131</v>
      </c>
      <c r="E111" s="13">
        <v>46119</v>
      </c>
      <c r="F111" s="11">
        <v>2.7808000000000002</v>
      </c>
      <c r="G111" s="11">
        <v>15</v>
      </c>
      <c r="H111" s="11">
        <v>1</v>
      </c>
      <c r="I111" s="11">
        <v>14.3752</v>
      </c>
      <c r="J111" s="11">
        <v>67.338700000000003</v>
      </c>
      <c r="K111" s="11">
        <v>0.35</v>
      </c>
      <c r="L111" s="15">
        <f t="shared" si="1"/>
        <v>1.6666666666666667</v>
      </c>
      <c r="M111" s="14">
        <f>IF(Tabla15[[#This Row],[COMBUSTIBLE]]="PETRÓLEO",L111*$Q$2,L111*$Q$4)</f>
        <v>2001.6666666666667</v>
      </c>
      <c r="N111" s="12" t="str">
        <f>IF(OR(WEEKDAY(Tabla15[[#This Row],[Fecha]],2)=6,WEEKDAY(Tabla15[[#This Row],[Fecha]],2)=7),"Fin de semana","Semana")</f>
        <v>Semana</v>
      </c>
    </row>
    <row r="112" spans="1:14" ht="12.75" customHeight="1" x14ac:dyDescent="0.25">
      <c r="A112" s="11" t="str">
        <f>_xlfn.XLOOKUP(Tabla15[[#This Row],[GPS]],Hoja3!A:A,Hoja3!B:B)</f>
        <v>CAMIONETA</v>
      </c>
      <c r="B112" s="11" t="str">
        <f>_xlfn.XLOOKUP(GPS!D112,Hoja3!A:A,Hoja3!D:D)</f>
        <v>PETRÓLEO</v>
      </c>
      <c r="C112" s="12" t="str">
        <f>_xlfn.XLOOKUP(Tabla15[[#This Row],[GPS]],Hoja3!A:A,Hoja3!C:C)</f>
        <v>CAMPO RULO</v>
      </c>
      <c r="D112" s="12" t="s">
        <v>135</v>
      </c>
      <c r="E112" s="13">
        <v>46119</v>
      </c>
      <c r="F112" s="11">
        <v>2.6888999999999998</v>
      </c>
      <c r="G112" s="11">
        <v>49</v>
      </c>
      <c r="H112" s="11">
        <v>1</v>
      </c>
      <c r="I112" s="11">
        <v>25.9541</v>
      </c>
      <c r="J112" s="11">
        <v>88.618200000000002</v>
      </c>
      <c r="K112" s="11">
        <v>0.34</v>
      </c>
      <c r="L112" s="15">
        <f t="shared" si="1"/>
        <v>5.4444444444444446</v>
      </c>
      <c r="M112" s="14">
        <f>IF(Tabla15[[#This Row],[COMBUSTIBLE]]="PETRÓLEO",L112*$Q$2,L112*$Q$4)</f>
        <v>6538.7777777777783</v>
      </c>
      <c r="N112" s="12" t="str">
        <f>IF(OR(WEEKDAY(Tabla15[[#This Row],[Fecha]],2)=6,WEEKDAY(Tabla15[[#This Row],[Fecha]],2)=7),"Fin de semana","Semana")</f>
        <v>Semana</v>
      </c>
    </row>
    <row r="113" spans="1:14" ht="12.75" customHeight="1" x14ac:dyDescent="0.25">
      <c r="A113" s="11" t="str">
        <f>_xlfn.XLOOKUP(Tabla15[[#This Row],[GPS]],Hoja3!A:A,Hoja3!B:B)</f>
        <v>TRACTOR</v>
      </c>
      <c r="B113" s="11" t="str">
        <f>_xlfn.XLOOKUP(GPS!D113,Hoja3!A:A,Hoja3!D:D)</f>
        <v>PETRÓLEO</v>
      </c>
      <c r="C113" s="12" t="str">
        <f>_xlfn.XLOOKUP(Tabla15[[#This Row],[GPS]],Hoja3!A:A,Hoja3!C:C)</f>
        <v>T8</v>
      </c>
      <c r="D113" s="12" t="s">
        <v>27</v>
      </c>
      <c r="E113" s="13">
        <v>46119</v>
      </c>
      <c r="F113" s="11">
        <v>2.3605999999999998</v>
      </c>
      <c r="G113" s="11">
        <v>16.690000000000001</v>
      </c>
      <c r="H113" s="11">
        <v>1</v>
      </c>
      <c r="I113" s="11">
        <v>10.001300000000001</v>
      </c>
      <c r="J113" s="11">
        <v>39.336500000000001</v>
      </c>
      <c r="K113" s="11">
        <v>0.3</v>
      </c>
      <c r="L113" s="15">
        <f t="shared" si="1"/>
        <v>2.7816666666666667</v>
      </c>
      <c r="M113" s="14">
        <f>IF(Tabla15[[#This Row],[COMBUSTIBLE]]="PETRÓLEO",L113*$Q$2,L113*$Q$4)</f>
        <v>3340.7816666666668</v>
      </c>
      <c r="N113" s="12" t="str">
        <f>IF(OR(WEEKDAY(Tabla15[[#This Row],[Fecha]],2)=6,WEEKDAY(Tabla15[[#This Row],[Fecha]],2)=7),"Fin de semana","Semana")</f>
        <v>Semana</v>
      </c>
    </row>
    <row r="114" spans="1:14" ht="12.75" customHeight="1" x14ac:dyDescent="0.25">
      <c r="A114" s="11" t="str">
        <f>_xlfn.XLOOKUP(Tabla15[[#This Row],[GPS]],Hoja3!A:A,Hoja3!B:B)</f>
        <v>TRACTOR</v>
      </c>
      <c r="B114" s="11" t="str">
        <f>_xlfn.XLOOKUP(GPS!D114,Hoja3!A:A,Hoja3!D:D)</f>
        <v>PETRÓLEO</v>
      </c>
      <c r="C114" s="12" t="str">
        <f>_xlfn.XLOOKUP(Tabla15[[#This Row],[GPS]],Hoja3!A:A,Hoja3!C:C)</f>
        <v>T9</v>
      </c>
      <c r="D114" s="12" t="s">
        <v>28</v>
      </c>
      <c r="E114" s="13">
        <v>46119</v>
      </c>
      <c r="F114" s="11">
        <v>1.5793999999999999</v>
      </c>
      <c r="G114" s="11">
        <v>2.57</v>
      </c>
      <c r="H114" s="11">
        <v>1</v>
      </c>
      <c r="I114" s="11">
        <v>5.9408000000000003</v>
      </c>
      <c r="J114" s="11">
        <v>42.762700000000002</v>
      </c>
      <c r="K114" s="11">
        <v>0.2</v>
      </c>
      <c r="L114" s="15">
        <f t="shared" si="1"/>
        <v>0.42833333333333329</v>
      </c>
      <c r="M114" s="14">
        <f>IF(Tabla15[[#This Row],[COMBUSTIBLE]]="PETRÓLEO",L114*$Q$2,L114*$Q$4)</f>
        <v>514.42833333333328</v>
      </c>
      <c r="N114" s="12" t="str">
        <f>IF(OR(WEEKDAY(Tabla15[[#This Row],[Fecha]],2)=6,WEEKDAY(Tabla15[[#This Row],[Fecha]],2)=7),"Fin de semana","Semana")</f>
        <v>Semana</v>
      </c>
    </row>
    <row r="115" spans="1:14" ht="12.75" customHeight="1" x14ac:dyDescent="0.25">
      <c r="A115" s="11" t="str">
        <f>_xlfn.XLOOKUP(Tabla15[[#This Row],[GPS]],Hoja3!A:A,Hoja3!B:B)</f>
        <v>CAMIONETA</v>
      </c>
      <c r="B115" s="11" t="str">
        <f>_xlfn.XLOOKUP(GPS!D115,Hoja3!A:A,Hoja3!D:D)</f>
        <v>PETRÓLEO</v>
      </c>
      <c r="C115" s="12" t="str">
        <f>_xlfn.XLOOKUP(Tabla15[[#This Row],[GPS]],Hoja3!A:A,Hoja3!C:C)</f>
        <v>GONZALO GUERRERO</v>
      </c>
      <c r="D115" s="12" t="s">
        <v>126</v>
      </c>
      <c r="E115" s="13">
        <v>46119</v>
      </c>
      <c r="F115" s="11">
        <v>1.1186</v>
      </c>
      <c r="G115" s="11">
        <v>50.59</v>
      </c>
      <c r="H115" s="11">
        <v>1</v>
      </c>
      <c r="I115" s="11">
        <v>47.424599999999998</v>
      </c>
      <c r="J115" s="11">
        <v>128.0001</v>
      </c>
      <c r="K115" s="11">
        <v>0.14000000000000001</v>
      </c>
      <c r="L115" s="15">
        <f t="shared" si="1"/>
        <v>5.6211111111111114</v>
      </c>
      <c r="M115" s="14">
        <f>IF(Tabla15[[#This Row],[COMBUSTIBLE]]="PETRÓLEO",L115*$Q$2,L115*$Q$4)</f>
        <v>6750.9544444444446</v>
      </c>
      <c r="N115" s="12" t="str">
        <f>IF(OR(WEEKDAY(Tabla15[[#This Row],[Fecha]],2)=6,WEEKDAY(Tabla15[[#This Row],[Fecha]],2)=7),"Fin de semana","Semana")</f>
        <v>Semana</v>
      </c>
    </row>
    <row r="116" spans="1:14" ht="12.75" customHeight="1" x14ac:dyDescent="0.25">
      <c r="A116" s="11" t="str">
        <f>_xlfn.XLOOKUP(Tabla15[[#This Row],[GPS]],Hoja3!A:A,Hoja3!B:B)</f>
        <v>CAMIONETA</v>
      </c>
      <c r="B116" s="11" t="str">
        <f>_xlfn.XLOOKUP(GPS!D116,Hoja3!A:A,Hoja3!D:D)</f>
        <v>BENCINA</v>
      </c>
      <c r="C116" s="12" t="str">
        <f>_xlfn.XLOOKUP(Tabla15[[#This Row],[GPS]],Hoja3!A:A,Hoja3!C:C)</f>
        <v>VG CERRILLOS</v>
      </c>
      <c r="D116" s="12" t="s">
        <v>137</v>
      </c>
      <c r="E116" s="13">
        <v>46119</v>
      </c>
      <c r="F116" s="11">
        <v>0</v>
      </c>
      <c r="G116" s="11">
        <v>31.36</v>
      </c>
      <c r="H116" s="11">
        <v>1</v>
      </c>
      <c r="I116" s="11">
        <v>13.2927</v>
      </c>
      <c r="J116" s="11">
        <v>38.000100000000003</v>
      </c>
      <c r="K116" s="11">
        <v>0</v>
      </c>
      <c r="L116" s="15">
        <f t="shared" si="1"/>
        <v>2.8509090909090911</v>
      </c>
      <c r="M116" s="14">
        <f>IF(Tabla15[[#This Row],[COMBUSTIBLE]]="PETRÓLEO",L116*$Q$2,L116*$Q$4)</f>
        <v>4418.909090909091</v>
      </c>
      <c r="N116" s="12" t="str">
        <f>IF(OR(WEEKDAY(Tabla15[[#This Row],[Fecha]],2)=6,WEEKDAY(Tabla15[[#This Row],[Fecha]],2)=7),"Fin de semana","Semana")</f>
        <v>Semana</v>
      </c>
    </row>
    <row r="117" spans="1:14" ht="12.75" customHeight="1" x14ac:dyDescent="0.25">
      <c r="A117" s="11" t="str">
        <f>_xlfn.XLOOKUP(Tabla15[[#This Row],[GPS]],Hoja3!A:A,Hoja3!B:B)</f>
        <v>CAMIONETA</v>
      </c>
      <c r="B117" s="11" t="str">
        <f>_xlfn.XLOOKUP(GPS!D117,Hoja3!A:A,Hoja3!D:D)</f>
        <v>BENCINA</v>
      </c>
      <c r="C117" s="12" t="str">
        <f>_xlfn.XLOOKUP(Tabla15[[#This Row],[GPS]],Hoja3!A:A,Hoja3!C:C)</f>
        <v>VG PIÑALEO</v>
      </c>
      <c r="D117" s="12" t="s">
        <v>114</v>
      </c>
      <c r="E117" s="13">
        <v>46119</v>
      </c>
      <c r="F117" s="11">
        <v>0</v>
      </c>
      <c r="G117" s="11">
        <v>33.78</v>
      </c>
      <c r="H117" s="11">
        <v>1</v>
      </c>
      <c r="I117" s="11">
        <v>34.483699999999999</v>
      </c>
      <c r="J117" s="11">
        <v>86</v>
      </c>
      <c r="K117" s="11">
        <v>0</v>
      </c>
      <c r="L117" s="15">
        <f t="shared" si="1"/>
        <v>3.0709090909090908</v>
      </c>
      <c r="M117" s="14">
        <f>IF(Tabla15[[#This Row],[COMBUSTIBLE]]="PETRÓLEO",L117*$Q$2,L117*$Q$4)</f>
        <v>4759.909090909091</v>
      </c>
      <c r="N117" s="12" t="str">
        <f>IF(OR(WEEKDAY(Tabla15[[#This Row],[Fecha]],2)=6,WEEKDAY(Tabla15[[#This Row],[Fecha]],2)=7),"Fin de semana","Semana")</f>
        <v>Semana</v>
      </c>
    </row>
    <row r="118" spans="1:14" ht="12.75" customHeight="1" x14ac:dyDescent="0.25">
      <c r="A118" s="11" t="str">
        <f>_xlfn.XLOOKUP(Tabla15[[#This Row],[GPS]],Hoja3!A:A,Hoja3!B:B)</f>
        <v>CAMIONETA</v>
      </c>
      <c r="B118" s="11" t="str">
        <f>_xlfn.XLOOKUP(GPS!D118,Hoja3!A:A,Hoja3!D:D)</f>
        <v>BENCINA</v>
      </c>
      <c r="C118" s="12" t="str">
        <f>_xlfn.XLOOKUP(Tabla15[[#This Row],[GPS]],Hoja3!A:A,Hoja3!C:C)</f>
        <v>VG GERARDO</v>
      </c>
      <c r="D118" s="12" t="s">
        <v>118</v>
      </c>
      <c r="E118" s="13">
        <v>46119</v>
      </c>
      <c r="F118" s="11">
        <v>0</v>
      </c>
      <c r="G118" s="11">
        <v>76.45</v>
      </c>
      <c r="H118" s="11">
        <v>1</v>
      </c>
      <c r="I118" s="11">
        <v>28.947900000000001</v>
      </c>
      <c r="J118" s="11">
        <v>117.0001</v>
      </c>
      <c r="K118" s="11">
        <v>0</v>
      </c>
      <c r="L118" s="15">
        <f t="shared" si="1"/>
        <v>6.95</v>
      </c>
      <c r="M118" s="14">
        <f>IF(Tabla15[[#This Row],[COMBUSTIBLE]]="PETRÓLEO",L118*$Q$2,L118*$Q$4)</f>
        <v>10772.5</v>
      </c>
      <c r="N118" s="12" t="str">
        <f>IF(OR(WEEKDAY(Tabla15[[#This Row],[Fecha]],2)=6,WEEKDAY(Tabla15[[#This Row],[Fecha]],2)=7),"Fin de semana","Semana")</f>
        <v>Semana</v>
      </c>
    </row>
    <row r="119" spans="1:14" ht="12.75" customHeight="1" x14ac:dyDescent="0.25">
      <c r="A119" s="11" t="str">
        <f>_xlfn.XLOOKUP(Tabla15[[#This Row],[GPS]],Hoja3!A:A,Hoja3!B:B)</f>
        <v>CAMIONETA</v>
      </c>
      <c r="B119" s="11" t="str">
        <f>_xlfn.XLOOKUP(GPS!D119,Hoja3!A:A,Hoja3!D:D)</f>
        <v>PETRÓLEO</v>
      </c>
      <c r="C119" s="12" t="str">
        <f>_xlfn.XLOOKUP(Tabla15[[#This Row],[GPS]],Hoja3!A:A,Hoja3!C:C)</f>
        <v>SERGIO ROJAS</v>
      </c>
      <c r="D119" s="12" t="s">
        <v>128</v>
      </c>
      <c r="E119" s="13">
        <v>46119</v>
      </c>
      <c r="F119" s="11">
        <v>0</v>
      </c>
      <c r="G119" s="11">
        <v>64.73</v>
      </c>
      <c r="H119" s="11">
        <v>1</v>
      </c>
      <c r="I119" s="11">
        <v>20.797799999999999</v>
      </c>
      <c r="J119" s="11">
        <v>91.000100000000003</v>
      </c>
      <c r="K119" s="11">
        <v>0</v>
      </c>
      <c r="L119" s="15">
        <f t="shared" si="1"/>
        <v>7.192222222222223</v>
      </c>
      <c r="M119" s="14">
        <f>IF(Tabla15[[#This Row],[COMBUSTIBLE]]="PETRÓLEO",L119*$Q$2,L119*$Q$4)</f>
        <v>8637.8588888888899</v>
      </c>
      <c r="N119" s="12" t="str">
        <f>IF(OR(WEEKDAY(Tabla15[[#This Row],[Fecha]],2)=6,WEEKDAY(Tabla15[[#This Row],[Fecha]],2)=7),"Fin de semana","Semana")</f>
        <v>Semana</v>
      </c>
    </row>
    <row r="120" spans="1:14" ht="12.75" customHeight="1" x14ac:dyDescent="0.25">
      <c r="A120" s="11" t="str">
        <f>_xlfn.XLOOKUP(Tabla15[[#This Row],[GPS]],Hoja3!A:A,Hoja3!B:B)</f>
        <v>CAMIONETA</v>
      </c>
      <c r="B120" s="11" t="str">
        <f>_xlfn.XLOOKUP(GPS!D120,Hoja3!A:A,Hoja3!D:D)</f>
        <v>PETRÓLEO</v>
      </c>
      <c r="C120" s="12" t="str">
        <f>_xlfn.XLOOKUP(Tabla15[[#This Row],[GPS]],Hoja3!A:A,Hoja3!C:C)</f>
        <v>CAMPO RULO</v>
      </c>
      <c r="D120" s="12" t="s">
        <v>135</v>
      </c>
      <c r="E120" s="13">
        <v>46116</v>
      </c>
      <c r="F120" s="11">
        <v>0.2011</v>
      </c>
      <c r="G120" s="11">
        <v>1.25</v>
      </c>
      <c r="H120" s="11">
        <v>1</v>
      </c>
      <c r="I120" s="11">
        <v>9.8436000000000003</v>
      </c>
      <c r="J120" s="11">
        <v>36.465899999999998</v>
      </c>
      <c r="K120" s="11">
        <v>0.03</v>
      </c>
      <c r="L120" s="15">
        <f t="shared" si="1"/>
        <v>0.1388888888888889</v>
      </c>
      <c r="M120" s="14">
        <f>IF(Tabla15[[#This Row],[COMBUSTIBLE]]="PETRÓLEO",L120*$Q$2,L120*$Q$4)</f>
        <v>166.80555555555557</v>
      </c>
      <c r="N120" s="12" t="str">
        <f>IF(OR(WEEKDAY(Tabla15[[#This Row],[Fecha]],2)=6,WEEKDAY(Tabla15[[#This Row],[Fecha]],2)=7),"Fin de semana","Semana")</f>
        <v>Fin de semana</v>
      </c>
    </row>
    <row r="121" spans="1:14" ht="12.75" customHeight="1" x14ac:dyDescent="0.25">
      <c r="A121" s="11" t="str">
        <f>_xlfn.XLOOKUP(Tabla15[[#This Row],[GPS]],Hoja3!A:A,Hoja3!B:B)</f>
        <v>CAMIONETA</v>
      </c>
      <c r="B121" s="11" t="str">
        <f>_xlfn.XLOOKUP(GPS!D121,Hoja3!A:A,Hoja3!D:D)</f>
        <v>PETRÓLEO</v>
      </c>
      <c r="C121" s="12" t="str">
        <f>_xlfn.XLOOKUP(Tabla15[[#This Row],[GPS]],Hoja3!A:A,Hoja3!C:C)</f>
        <v>GONZALO GUERRERO</v>
      </c>
      <c r="D121" s="12" t="s">
        <v>126</v>
      </c>
      <c r="E121" s="13">
        <v>46116</v>
      </c>
      <c r="F121" s="11">
        <v>9.2200000000000004E-2</v>
      </c>
      <c r="G121" s="11">
        <v>0.85</v>
      </c>
      <c r="H121" s="11">
        <v>0</v>
      </c>
      <c r="I121" s="11">
        <v>17.370999999999999</v>
      </c>
      <c r="J121" s="11">
        <v>59.000100000000003</v>
      </c>
      <c r="K121" s="11">
        <v>0.01</v>
      </c>
      <c r="L121" s="15">
        <f t="shared" si="1"/>
        <v>9.4444444444444442E-2</v>
      </c>
      <c r="M121" s="14">
        <f>IF(Tabla15[[#This Row],[COMBUSTIBLE]]="PETRÓLEO",L121*$Q$2,L121*$Q$4)</f>
        <v>113.42777777777778</v>
      </c>
      <c r="N121" s="12" t="str">
        <f>IF(OR(WEEKDAY(Tabla15[[#This Row],[Fecha]],2)=6,WEEKDAY(Tabla15[[#This Row],[Fecha]],2)=7),"Fin de semana","Semana")</f>
        <v>Fin de semana</v>
      </c>
    </row>
    <row r="122" spans="1:14" ht="12.75" customHeight="1" x14ac:dyDescent="0.25">
      <c r="A122" s="11" t="str">
        <f>_xlfn.XLOOKUP(Tabla15[[#This Row],[GPS]],Hoja3!A:A,Hoja3!B:B)</f>
        <v>CAMIONETA</v>
      </c>
      <c r="B122" s="11" t="str">
        <f>_xlfn.XLOOKUP(GPS!D122,Hoja3!A:A,Hoja3!D:D)</f>
        <v>BENCINA</v>
      </c>
      <c r="C122" s="12" t="str">
        <f>_xlfn.XLOOKUP(Tabla15[[#This Row],[GPS]],Hoja3!A:A,Hoja3!C:C)</f>
        <v>VG PIÑALEO</v>
      </c>
      <c r="D122" s="12" t="s">
        <v>114</v>
      </c>
      <c r="E122" s="13">
        <v>46117</v>
      </c>
      <c r="F122" s="11">
        <v>0</v>
      </c>
      <c r="G122" s="11">
        <v>8.57</v>
      </c>
      <c r="H122" s="11">
        <v>1</v>
      </c>
      <c r="I122" s="11">
        <v>29.000299999999999</v>
      </c>
      <c r="J122" s="11">
        <v>78.209999999999994</v>
      </c>
      <c r="K122" s="11">
        <v>0</v>
      </c>
      <c r="L122" s="15">
        <f t="shared" si="1"/>
        <v>0.77909090909090917</v>
      </c>
      <c r="M122" s="14">
        <f>IF(Tabla15[[#This Row],[COMBUSTIBLE]]="PETRÓLEO",L122*$Q$2,L122*$Q$4)</f>
        <v>1207.5909090909092</v>
      </c>
      <c r="N122" s="12" t="str">
        <f>IF(OR(WEEKDAY(Tabla15[[#This Row],[Fecha]],2)=6,WEEKDAY(Tabla15[[#This Row],[Fecha]],2)=7),"Fin de semana","Semana")</f>
        <v>Fin de semana</v>
      </c>
    </row>
    <row r="123" spans="1:14" ht="12.75" customHeight="1" x14ac:dyDescent="0.25">
      <c r="A123" s="11" t="str">
        <f>_xlfn.XLOOKUP(Tabla15[[#This Row],[GPS]],Hoja3!A:A,Hoja3!B:B)</f>
        <v>TRACTOR</v>
      </c>
      <c r="B123" s="11" t="str">
        <f>_xlfn.XLOOKUP(GPS!D123,Hoja3!A:A,Hoja3!D:D)</f>
        <v>PETRÓLEO</v>
      </c>
      <c r="C123" s="12" t="str">
        <f>_xlfn.XLOOKUP(Tabla15[[#This Row],[GPS]],Hoja3!A:A,Hoja3!C:C)</f>
        <v>T12</v>
      </c>
      <c r="D123" s="12" t="s">
        <v>17</v>
      </c>
      <c r="E123" s="13">
        <v>46116</v>
      </c>
      <c r="F123" s="11">
        <v>0</v>
      </c>
      <c r="G123" s="11">
        <v>0.11</v>
      </c>
      <c r="H123" s="11">
        <v>0</v>
      </c>
      <c r="I123" s="11">
        <v>10.0486</v>
      </c>
      <c r="J123" s="11">
        <v>18.2607</v>
      </c>
      <c r="K123" s="11">
        <v>0</v>
      </c>
      <c r="L123" s="15">
        <f t="shared" si="1"/>
        <v>1.8333333333333333E-2</v>
      </c>
      <c r="M123" s="14">
        <f>IF(Tabla15[[#This Row],[COMBUSTIBLE]]="PETRÓLEO",L123*$Q$2,L123*$Q$4)</f>
        <v>22.018333333333334</v>
      </c>
      <c r="N123" s="12" t="str">
        <f>IF(OR(WEEKDAY(Tabla15[[#This Row],[Fecha]],2)=6,WEEKDAY(Tabla15[[#This Row],[Fecha]],2)=7),"Fin de semana","Semana")</f>
        <v>Fin de semana</v>
      </c>
    </row>
    <row r="124" spans="1:14" ht="12.75" customHeight="1" x14ac:dyDescent="0.25">
      <c r="A124" s="11" t="str">
        <f>_xlfn.XLOOKUP(Tabla15[[#This Row],[GPS]],Hoja3!A:A,Hoja3!B:B)</f>
        <v>CAMIONETA</v>
      </c>
      <c r="B124" s="11" t="str">
        <f>_xlfn.XLOOKUP(GPS!D124,Hoja3!A:A,Hoja3!D:D)</f>
        <v>BENCINA</v>
      </c>
      <c r="C124" s="12" t="str">
        <f>_xlfn.XLOOKUP(Tabla15[[#This Row],[GPS]],Hoja3!A:A,Hoja3!C:C)</f>
        <v>VG GERARDO</v>
      </c>
      <c r="D124" s="12" t="s">
        <v>118</v>
      </c>
      <c r="E124" s="13">
        <v>46116</v>
      </c>
      <c r="F124" s="11">
        <v>0</v>
      </c>
      <c r="G124" s="11">
        <v>10.01</v>
      </c>
      <c r="H124" s="11">
        <v>1</v>
      </c>
      <c r="I124" s="11">
        <v>16.5886</v>
      </c>
      <c r="J124" s="11">
        <v>62</v>
      </c>
      <c r="K124" s="11">
        <v>0</v>
      </c>
      <c r="L124" s="15">
        <f t="shared" si="1"/>
        <v>0.91</v>
      </c>
      <c r="M124" s="14">
        <f>IF(Tabla15[[#This Row],[COMBUSTIBLE]]="PETRÓLEO",L124*$Q$2,L124*$Q$4)</f>
        <v>1410.5</v>
      </c>
      <c r="N124" s="12" t="str">
        <f>IF(OR(WEEKDAY(Tabla15[[#This Row],[Fecha]],2)=6,WEEKDAY(Tabla15[[#This Row],[Fecha]],2)=7),"Fin de semana","Semana")</f>
        <v>Fin de semana</v>
      </c>
    </row>
    <row r="125" spans="1:14" ht="12.75" customHeight="1" x14ac:dyDescent="0.25">
      <c r="A125" s="11" t="str">
        <f>_xlfn.XLOOKUP(Tabla15[[#This Row],[GPS]],Hoja3!A:A,Hoja3!B:B)</f>
        <v>CAMIONETA</v>
      </c>
      <c r="B125" s="11" t="str">
        <f>_xlfn.XLOOKUP(GPS!D125,Hoja3!A:A,Hoja3!D:D)</f>
        <v>PETRÓLEO</v>
      </c>
      <c r="C125" s="12" t="str">
        <f>_xlfn.XLOOKUP(Tabla15[[#This Row],[GPS]],Hoja3!A:A,Hoja3!C:C)</f>
        <v>CAMPO PAINE</v>
      </c>
      <c r="D125" s="12" t="s">
        <v>131</v>
      </c>
      <c r="E125" s="13">
        <v>46109</v>
      </c>
      <c r="F125" s="11">
        <v>0.59219999999999995</v>
      </c>
      <c r="G125" s="11">
        <v>20.8</v>
      </c>
      <c r="H125" s="11">
        <v>1</v>
      </c>
      <c r="I125" s="11">
        <v>36.342599999999997</v>
      </c>
      <c r="J125" s="11">
        <v>108.02719999999999</v>
      </c>
      <c r="K125" s="11">
        <v>7.0000000000000007E-2</v>
      </c>
      <c r="L125" s="15">
        <f t="shared" si="1"/>
        <v>2.3111111111111113</v>
      </c>
      <c r="M125" s="14">
        <f>IF(Tabla15[[#This Row],[COMBUSTIBLE]]="PETRÓLEO",L125*$Q$2,L125*$Q$4)</f>
        <v>2775.6444444444446</v>
      </c>
      <c r="N125" s="12" t="str">
        <f>IF(OR(WEEKDAY(Tabla15[[#This Row],[Fecha]],2)=6,WEEKDAY(Tabla15[[#This Row],[Fecha]],2)=7),"Fin de semana","Semana")</f>
        <v>Fin de semana</v>
      </c>
    </row>
    <row r="126" spans="1:14" ht="12.75" customHeight="1" x14ac:dyDescent="0.25">
      <c r="A126" s="11" t="str">
        <f>_xlfn.XLOOKUP(Tabla15[[#This Row],[GPS]],Hoja3!A:A,Hoja3!B:B)</f>
        <v>CAMIONETA</v>
      </c>
      <c r="B126" s="11" t="str">
        <f>_xlfn.XLOOKUP(GPS!D126,Hoja3!A:A,Hoja3!D:D)</f>
        <v>PETRÓLEO</v>
      </c>
      <c r="C126" s="12" t="str">
        <f>_xlfn.XLOOKUP(Tabla15[[#This Row],[GPS]],Hoja3!A:A,Hoja3!C:C)</f>
        <v>CAMPO RULO</v>
      </c>
      <c r="D126" s="12" t="s">
        <v>135</v>
      </c>
      <c r="E126" s="13">
        <v>46109</v>
      </c>
      <c r="F126" s="11">
        <v>0.21360000000000001</v>
      </c>
      <c r="G126" s="11">
        <v>5.05</v>
      </c>
      <c r="H126" s="11">
        <v>1</v>
      </c>
      <c r="I126" s="11">
        <v>25.190899999999999</v>
      </c>
      <c r="J126" s="11">
        <v>62</v>
      </c>
      <c r="K126" s="11">
        <v>0.03</v>
      </c>
      <c r="L126" s="15">
        <f t="shared" si="1"/>
        <v>0.56111111111111112</v>
      </c>
      <c r="M126" s="14">
        <f>IF(Tabla15[[#This Row],[COMBUSTIBLE]]="PETRÓLEO",L126*$Q$2,L126*$Q$4)</f>
        <v>673.8944444444445</v>
      </c>
      <c r="N126" s="12" t="str">
        <f>IF(OR(WEEKDAY(Tabla15[[#This Row],[Fecha]],2)=6,WEEKDAY(Tabla15[[#This Row],[Fecha]],2)=7),"Fin de semana","Semana")</f>
        <v>Fin de semana</v>
      </c>
    </row>
    <row r="127" spans="1:14" ht="12.75" customHeight="1" x14ac:dyDescent="0.25">
      <c r="A127" s="11" t="str">
        <f>_xlfn.XLOOKUP(Tabla15[[#This Row],[GPS]],Hoja3!A:A,Hoja3!B:B)</f>
        <v>CAMIONETA</v>
      </c>
      <c r="B127" s="11" t="str">
        <f>_xlfn.XLOOKUP(GPS!D127,Hoja3!A:A,Hoja3!D:D)</f>
        <v>PETRÓLEO</v>
      </c>
      <c r="C127" s="12" t="str">
        <f>_xlfn.XLOOKUP(Tabla15[[#This Row],[GPS]],Hoja3!A:A,Hoja3!C:C)</f>
        <v>CAMPO RULO</v>
      </c>
      <c r="D127" s="12" t="s">
        <v>135</v>
      </c>
      <c r="E127" s="13">
        <v>46110</v>
      </c>
      <c r="F127" s="11">
        <v>4.4000000000000003E-3</v>
      </c>
      <c r="G127" s="11">
        <v>0.02</v>
      </c>
      <c r="H127" s="11">
        <v>0</v>
      </c>
      <c r="I127" s="11">
        <v>1.4722999999999999</v>
      </c>
      <c r="J127" s="11">
        <v>4</v>
      </c>
      <c r="K127" s="11">
        <v>0</v>
      </c>
      <c r="L127" s="15">
        <f t="shared" si="1"/>
        <v>2.2222222222222222E-3</v>
      </c>
      <c r="M127" s="14">
        <f>IF(Tabla15[[#This Row],[COMBUSTIBLE]]="PETRÓLEO",L127*$Q$2,L127*$Q$4)</f>
        <v>2.6688888888888891</v>
      </c>
      <c r="N127" s="12" t="str">
        <f>IF(OR(WEEKDAY(Tabla15[[#This Row],[Fecha]],2)=6,WEEKDAY(Tabla15[[#This Row],[Fecha]],2)=7),"Fin de semana","Semana")</f>
        <v>Fin de semana</v>
      </c>
    </row>
    <row r="128" spans="1:14" ht="12.75" customHeight="1" x14ac:dyDescent="0.25">
      <c r="A128" s="11" t="str">
        <f>_xlfn.XLOOKUP(Tabla15[[#This Row],[GPS]],Hoja3!A:A,Hoja3!B:B)</f>
        <v>CAMIONETA</v>
      </c>
      <c r="B128" s="11" t="str">
        <f>_xlfn.XLOOKUP(GPS!D128,Hoja3!A:A,Hoja3!D:D)</f>
        <v>BENCINA</v>
      </c>
      <c r="C128" s="12" t="str">
        <f>_xlfn.XLOOKUP(Tabla15[[#This Row],[GPS]],Hoja3!A:A,Hoja3!C:C)</f>
        <v>VG GERARDO</v>
      </c>
      <c r="D128" s="12" t="s">
        <v>118</v>
      </c>
      <c r="E128" s="13">
        <v>46109</v>
      </c>
      <c r="F128" s="11">
        <v>0</v>
      </c>
      <c r="G128" s="11">
        <v>15.54</v>
      </c>
      <c r="H128" s="11">
        <v>1</v>
      </c>
      <c r="I128" s="11">
        <v>28.6372</v>
      </c>
      <c r="J128" s="11">
        <v>85.117900000000006</v>
      </c>
      <c r="K128" s="11">
        <v>0</v>
      </c>
      <c r="L128" s="15">
        <f t="shared" si="1"/>
        <v>1.4127272727272726</v>
      </c>
      <c r="M128" s="14">
        <f>IF(Tabla15[[#This Row],[COMBUSTIBLE]]="PETRÓLEO",L128*$Q$2,L128*$Q$4)</f>
        <v>2189.7272727272725</v>
      </c>
      <c r="N128" s="12" t="str">
        <f>IF(OR(WEEKDAY(Tabla15[[#This Row],[Fecha]],2)=6,WEEKDAY(Tabla15[[#This Row],[Fecha]],2)=7),"Fin de semana","Semana")</f>
        <v>Fin de semana</v>
      </c>
    </row>
    <row r="129" spans="1:14" ht="12.75" customHeight="1" x14ac:dyDescent="0.25">
      <c r="A129" s="11" t="str">
        <f>_xlfn.XLOOKUP(Tabla15[[#This Row],[GPS]],Hoja3!A:A,Hoja3!B:B)</f>
        <v>CAMIONETA</v>
      </c>
      <c r="B129" s="11" t="str">
        <f>_xlfn.XLOOKUP(GPS!D129,Hoja3!A:A,Hoja3!D:D)</f>
        <v>BENCINA</v>
      </c>
      <c r="C129" s="12" t="str">
        <f>_xlfn.XLOOKUP(Tabla15[[#This Row],[GPS]],Hoja3!A:A,Hoja3!C:C)</f>
        <v>VG PIÑALEO</v>
      </c>
      <c r="D129" s="12" t="s">
        <v>114</v>
      </c>
      <c r="E129" s="13">
        <v>46110</v>
      </c>
      <c r="F129" s="11">
        <v>0</v>
      </c>
      <c r="G129" s="11">
        <v>12.59</v>
      </c>
      <c r="H129" s="11">
        <v>1</v>
      </c>
      <c r="I129" s="11">
        <v>33.037700000000001</v>
      </c>
      <c r="J129" s="11">
        <v>85.599400000000003</v>
      </c>
      <c r="K129" s="11">
        <v>0</v>
      </c>
      <c r="L129" s="15">
        <f t="shared" si="1"/>
        <v>1.1445454545454545</v>
      </c>
      <c r="M129" s="14">
        <f>IF(Tabla15[[#This Row],[COMBUSTIBLE]]="PETRÓLEO",L129*$Q$2,L129*$Q$4)</f>
        <v>1774.0454545454545</v>
      </c>
      <c r="N129" s="12" t="str">
        <f>IF(OR(WEEKDAY(Tabla15[[#This Row],[Fecha]],2)=6,WEEKDAY(Tabla15[[#This Row],[Fecha]],2)=7),"Fin de semana","Semana")</f>
        <v>Fin de semana</v>
      </c>
    </row>
    <row r="130" spans="1:14" ht="12.75" customHeight="1" x14ac:dyDescent="0.25">
      <c r="A130" s="11" t="str">
        <f>_xlfn.XLOOKUP(Tabla15[[#This Row],[GPS]],Hoja3!A:A,Hoja3!B:B)</f>
        <v>CAMIONETA</v>
      </c>
      <c r="B130" s="11" t="str">
        <f>_xlfn.XLOOKUP(GPS!D130,Hoja3!A:A,Hoja3!D:D)</f>
        <v>BENCINA</v>
      </c>
      <c r="C130" s="12" t="str">
        <f>_xlfn.XLOOKUP(Tabla15[[#This Row],[GPS]],Hoja3!A:A,Hoja3!C:C)</f>
        <v>VG PIÑALEO</v>
      </c>
      <c r="D130" s="12" t="s">
        <v>114</v>
      </c>
      <c r="E130" s="13">
        <v>46109</v>
      </c>
      <c r="F130" s="11">
        <v>0</v>
      </c>
      <c r="G130" s="11">
        <v>19.97</v>
      </c>
      <c r="H130" s="11">
        <v>1</v>
      </c>
      <c r="I130" s="11">
        <v>27.2882</v>
      </c>
      <c r="J130" s="11">
        <v>79.913799999999995</v>
      </c>
      <c r="K130" s="11">
        <v>0</v>
      </c>
      <c r="L130" s="15">
        <f t="shared" ref="L130:L193" si="2">IF(AND(A130="CAMIONETA",B130="BENCINA"),G130/$Q$5,IF(A130="TRACTOR",G130/$Q$3,G130/$Q$1))</f>
        <v>1.8154545454545454</v>
      </c>
      <c r="M130" s="14">
        <f>IF(Tabla15[[#This Row],[COMBUSTIBLE]]="PETRÓLEO",L130*$Q$2,L130*$Q$4)</f>
        <v>2813.9545454545455</v>
      </c>
      <c r="N130" s="12" t="str">
        <f>IF(OR(WEEKDAY(Tabla15[[#This Row],[Fecha]],2)=6,WEEKDAY(Tabla15[[#This Row],[Fecha]],2)=7),"Fin de semana","Semana")</f>
        <v>Fin de semana</v>
      </c>
    </row>
    <row r="131" spans="1:14" ht="12.75" customHeight="1" x14ac:dyDescent="0.25">
      <c r="A131" s="11" t="str">
        <f>_xlfn.XLOOKUP(Tabla15[[#This Row],[GPS]],Hoja3!A:A,Hoja3!B:B)</f>
        <v>CAMIONETA</v>
      </c>
      <c r="B131" s="11" t="str">
        <f>_xlfn.XLOOKUP(GPS!D131,Hoja3!A:A,Hoja3!D:D)</f>
        <v>BENCINA</v>
      </c>
      <c r="C131" s="12" t="str">
        <f>_xlfn.XLOOKUP(Tabla15[[#This Row],[GPS]],Hoja3!A:A,Hoja3!C:C)</f>
        <v>VG GERARDO</v>
      </c>
      <c r="D131" s="12" t="s">
        <v>118</v>
      </c>
      <c r="E131" s="13">
        <v>46110</v>
      </c>
      <c r="F131" s="11">
        <v>0</v>
      </c>
      <c r="G131" s="11">
        <v>0.04</v>
      </c>
      <c r="H131" s="11">
        <v>0</v>
      </c>
      <c r="I131" s="11">
        <v>15.3901</v>
      </c>
      <c r="J131" s="11">
        <v>31.6692</v>
      </c>
      <c r="K131" s="11">
        <v>0</v>
      </c>
      <c r="L131" s="15">
        <f t="shared" si="2"/>
        <v>3.6363636363636364E-3</v>
      </c>
      <c r="M131" s="14">
        <f>IF(Tabla15[[#This Row],[COMBUSTIBLE]]="PETRÓLEO",L131*$Q$2,L131*$Q$4)</f>
        <v>5.6363636363636367</v>
      </c>
      <c r="N131" s="12" t="str">
        <f>IF(OR(WEEKDAY(Tabla15[[#This Row],[Fecha]],2)=6,WEEKDAY(Tabla15[[#This Row],[Fecha]],2)=7),"Fin de semana","Semana")</f>
        <v>Fin de semana</v>
      </c>
    </row>
    <row r="132" spans="1:14" ht="12.75" customHeight="1" x14ac:dyDescent="0.25">
      <c r="A132" s="11" t="str">
        <f>_xlfn.XLOOKUP(Tabla15[[#This Row],[GPS]],Hoja3!A:A,Hoja3!B:B)</f>
        <v>TRACTOR</v>
      </c>
      <c r="B132" s="11" t="str">
        <f>_xlfn.XLOOKUP(GPS!D132,Hoja3!A:A,Hoja3!D:D)</f>
        <v>PETRÓLEO</v>
      </c>
      <c r="C132" s="12" t="str">
        <f>_xlfn.XLOOKUP(Tabla15[[#This Row],[GPS]],Hoja3!A:A,Hoja3!C:C)</f>
        <v>T7</v>
      </c>
      <c r="D132" s="12" t="s">
        <v>26</v>
      </c>
      <c r="E132" s="13">
        <v>46120</v>
      </c>
      <c r="F132" s="11">
        <v>15.648099999999999</v>
      </c>
      <c r="G132" s="11">
        <v>11.16</v>
      </c>
      <c r="H132" s="11">
        <v>1</v>
      </c>
      <c r="I132" s="11">
        <v>4.2747999999999999</v>
      </c>
      <c r="J132" s="11">
        <v>66.431200000000004</v>
      </c>
      <c r="K132" s="11">
        <v>1.96</v>
      </c>
      <c r="L132" s="15">
        <f t="shared" si="2"/>
        <v>1.86</v>
      </c>
      <c r="M132" s="14">
        <f>IF(Tabla15[[#This Row],[COMBUSTIBLE]]="PETRÓLEO",L132*$Q$2,L132*$Q$4)</f>
        <v>2233.86</v>
      </c>
      <c r="N132" s="12" t="str">
        <f>IF(OR(WEEKDAY(Tabla15[[#This Row],[Fecha]],2)=6,WEEKDAY(Tabla15[[#This Row],[Fecha]],2)=7),"Fin de semana","Semana")</f>
        <v>Semana</v>
      </c>
    </row>
    <row r="133" spans="1:14" ht="12.75" customHeight="1" x14ac:dyDescent="0.25">
      <c r="A133" s="11" t="str">
        <f>_xlfn.XLOOKUP(Tabla15[[#This Row],[GPS]],Hoja3!A:A,Hoja3!B:B)</f>
        <v>TRACTOR</v>
      </c>
      <c r="B133" s="11" t="str">
        <f>_xlfn.XLOOKUP(GPS!D133,Hoja3!A:A,Hoja3!D:D)</f>
        <v>PETRÓLEO</v>
      </c>
      <c r="C133" s="12" t="str">
        <f>_xlfn.XLOOKUP(Tabla15[[#This Row],[GPS]],Hoja3!A:A,Hoja3!C:C)</f>
        <v>T10</v>
      </c>
      <c r="D133" s="12" t="s">
        <v>14</v>
      </c>
      <c r="E133" s="13">
        <v>46120</v>
      </c>
      <c r="F133" s="11">
        <v>8.1166999999999998</v>
      </c>
      <c r="G133" s="11">
        <v>51.06</v>
      </c>
      <c r="H133" s="11">
        <v>1</v>
      </c>
      <c r="I133" s="11">
        <v>8.5930999999999997</v>
      </c>
      <c r="J133" s="11">
        <v>44.262799999999999</v>
      </c>
      <c r="K133" s="11">
        <v>1.01</v>
      </c>
      <c r="L133" s="15">
        <f t="shared" si="2"/>
        <v>8.51</v>
      </c>
      <c r="M133" s="14">
        <f>IF(Tabla15[[#This Row],[COMBUSTIBLE]]="PETRÓLEO",L133*$Q$2,L133*$Q$4)</f>
        <v>10220.51</v>
      </c>
      <c r="N133" s="12" t="str">
        <f>IF(OR(WEEKDAY(Tabla15[[#This Row],[Fecha]],2)=6,WEEKDAY(Tabla15[[#This Row],[Fecha]],2)=7),"Fin de semana","Semana")</f>
        <v>Semana</v>
      </c>
    </row>
    <row r="134" spans="1:14" ht="12.75" customHeight="1" x14ac:dyDescent="0.25">
      <c r="A134" s="11" t="str">
        <f>_xlfn.XLOOKUP(Tabla15[[#This Row],[GPS]],Hoja3!A:A,Hoja3!B:B)</f>
        <v>TRACTOR</v>
      </c>
      <c r="B134" s="11" t="str">
        <f>_xlfn.XLOOKUP(GPS!D134,Hoja3!A:A,Hoja3!D:D)</f>
        <v>PETRÓLEO</v>
      </c>
      <c r="C134" s="12" t="str">
        <f>_xlfn.XLOOKUP(Tabla15[[#This Row],[GPS]],Hoja3!A:A,Hoja3!C:C)</f>
        <v>T9</v>
      </c>
      <c r="D134" s="12" t="s">
        <v>28</v>
      </c>
      <c r="E134" s="13">
        <v>46120</v>
      </c>
      <c r="F134" s="11">
        <v>7.8902999999999999</v>
      </c>
      <c r="G134" s="11">
        <v>2.64</v>
      </c>
      <c r="H134" s="11">
        <v>1</v>
      </c>
      <c r="I134" s="11">
        <v>7.3662000000000001</v>
      </c>
      <c r="J134" s="11">
        <v>34.243499999999997</v>
      </c>
      <c r="K134" s="11">
        <v>0.99</v>
      </c>
      <c r="L134" s="15">
        <f t="shared" si="2"/>
        <v>0.44</v>
      </c>
      <c r="M134" s="14">
        <f>IF(Tabla15[[#This Row],[COMBUSTIBLE]]="PETRÓLEO",L134*$Q$2,L134*$Q$4)</f>
        <v>528.44000000000005</v>
      </c>
      <c r="N134" s="12" t="str">
        <f>IF(OR(WEEKDAY(Tabla15[[#This Row],[Fecha]],2)=6,WEEKDAY(Tabla15[[#This Row],[Fecha]],2)=7),"Fin de semana","Semana")</f>
        <v>Semana</v>
      </c>
    </row>
    <row r="135" spans="1:14" ht="12.75" customHeight="1" x14ac:dyDescent="0.25">
      <c r="A135" s="11" t="str">
        <f>_xlfn.XLOOKUP(Tabla15[[#This Row],[GPS]],Hoja3!A:A,Hoja3!B:B)</f>
        <v>TRACTOR</v>
      </c>
      <c r="B135" s="11" t="str">
        <f>_xlfn.XLOOKUP(GPS!D135,Hoja3!A:A,Hoja3!D:D)</f>
        <v>PETRÓLEO</v>
      </c>
      <c r="C135" s="12" t="str">
        <f>_xlfn.XLOOKUP(Tabla15[[#This Row],[GPS]],Hoja3!A:A,Hoja3!C:C)</f>
        <v>T13</v>
      </c>
      <c r="D135" s="12" t="s">
        <v>19</v>
      </c>
      <c r="E135" s="13">
        <v>46120</v>
      </c>
      <c r="F135" s="11">
        <v>7.8696999999999999</v>
      </c>
      <c r="G135" s="11">
        <v>37.380000000000003</v>
      </c>
      <c r="H135" s="11">
        <v>1</v>
      </c>
      <c r="I135" s="11">
        <v>5.83</v>
      </c>
      <c r="J135" s="11">
        <v>23.4648</v>
      </c>
      <c r="K135" s="11">
        <v>0.98</v>
      </c>
      <c r="L135" s="15">
        <f t="shared" si="2"/>
        <v>6.23</v>
      </c>
      <c r="M135" s="14">
        <f>IF(Tabla15[[#This Row],[COMBUSTIBLE]]="PETRÓLEO",L135*$Q$2,L135*$Q$4)</f>
        <v>7482.2300000000005</v>
      </c>
      <c r="N135" s="12" t="str">
        <f>IF(OR(WEEKDAY(Tabla15[[#This Row],[Fecha]],2)=6,WEEKDAY(Tabla15[[#This Row],[Fecha]],2)=7),"Fin de semana","Semana")</f>
        <v>Semana</v>
      </c>
    </row>
    <row r="136" spans="1:14" ht="12.75" customHeight="1" x14ac:dyDescent="0.25">
      <c r="A136" s="11" t="str">
        <f>_xlfn.XLOOKUP(Tabla15[[#This Row],[GPS]],Hoja3!A:A,Hoja3!B:B)</f>
        <v>TRACTOR</v>
      </c>
      <c r="B136" s="11" t="str">
        <f>_xlfn.XLOOKUP(GPS!D136,Hoja3!A:A,Hoja3!D:D)</f>
        <v>PETRÓLEO</v>
      </c>
      <c r="C136" s="12" t="str">
        <f>_xlfn.XLOOKUP(Tabla15[[#This Row],[GPS]],Hoja3!A:A,Hoja3!C:C)</f>
        <v>TA02</v>
      </c>
      <c r="D136" s="12" t="s">
        <v>30</v>
      </c>
      <c r="E136" s="13">
        <v>46120</v>
      </c>
      <c r="F136" s="11">
        <v>7.7058</v>
      </c>
      <c r="G136" s="11">
        <v>2.34</v>
      </c>
      <c r="H136" s="11">
        <v>1</v>
      </c>
      <c r="I136" s="11">
        <v>7.6224999999999996</v>
      </c>
      <c r="J136" s="11">
        <v>158.53120000000001</v>
      </c>
      <c r="K136" s="11">
        <v>0.96</v>
      </c>
      <c r="L136" s="15">
        <f t="shared" si="2"/>
        <v>0.38999999999999996</v>
      </c>
      <c r="M136" s="14">
        <f>IF(Tabla15[[#This Row],[COMBUSTIBLE]]="PETRÓLEO",L136*$Q$2,L136*$Q$4)</f>
        <v>468.38999999999993</v>
      </c>
      <c r="N136" s="12" t="str">
        <f>IF(OR(WEEKDAY(Tabla15[[#This Row],[Fecha]],2)=6,WEEKDAY(Tabla15[[#This Row],[Fecha]],2)=7),"Fin de semana","Semana")</f>
        <v>Semana</v>
      </c>
    </row>
    <row r="137" spans="1:14" ht="12.75" customHeight="1" x14ac:dyDescent="0.25">
      <c r="A137" s="11" t="str">
        <f>_xlfn.XLOOKUP(Tabla15[[#This Row],[GPS]],Hoja3!A:A,Hoja3!B:B)</f>
        <v>TRACTOR</v>
      </c>
      <c r="B137" s="11" t="str">
        <f>_xlfn.XLOOKUP(GPS!D137,Hoja3!A:A,Hoja3!D:D)</f>
        <v>PETRÓLEO</v>
      </c>
      <c r="C137" s="12" t="str">
        <f>_xlfn.XLOOKUP(Tabla15[[#This Row],[GPS]],Hoja3!A:A,Hoja3!C:C)</f>
        <v>T5</v>
      </c>
      <c r="D137" s="12" t="s">
        <v>24</v>
      </c>
      <c r="E137" s="13">
        <v>46120</v>
      </c>
      <c r="F137" s="11">
        <v>7.2233000000000001</v>
      </c>
      <c r="G137" s="11">
        <v>39.159999999999997</v>
      </c>
      <c r="H137" s="11">
        <v>1</v>
      </c>
      <c r="I137" s="11">
        <v>6.0437000000000003</v>
      </c>
      <c r="J137" s="11">
        <v>66.894199999999998</v>
      </c>
      <c r="K137" s="11">
        <v>0.9</v>
      </c>
      <c r="L137" s="15">
        <f t="shared" si="2"/>
        <v>6.5266666666666664</v>
      </c>
      <c r="M137" s="14">
        <f>IF(Tabla15[[#This Row],[COMBUSTIBLE]]="PETRÓLEO",L137*$Q$2,L137*$Q$4)</f>
        <v>7838.5266666666666</v>
      </c>
      <c r="N137" s="12" t="str">
        <f>IF(OR(WEEKDAY(Tabla15[[#This Row],[Fecha]],2)=6,WEEKDAY(Tabla15[[#This Row],[Fecha]],2)=7),"Fin de semana","Semana")</f>
        <v>Semana</v>
      </c>
    </row>
    <row r="138" spans="1:14" ht="12.75" customHeight="1" x14ac:dyDescent="0.25">
      <c r="A138" s="11" t="str">
        <f>_xlfn.XLOOKUP(Tabla15[[#This Row],[GPS]],Hoja3!A:A,Hoja3!B:B)</f>
        <v>TRACTOR</v>
      </c>
      <c r="B138" s="11" t="str">
        <f>_xlfn.XLOOKUP(GPS!D138,Hoja3!A:A,Hoja3!D:D)</f>
        <v>PETRÓLEO</v>
      </c>
      <c r="C138" s="12" t="str">
        <f>_xlfn.XLOOKUP(Tabla15[[#This Row],[GPS]],Hoja3!A:A,Hoja3!C:C)</f>
        <v>T14</v>
      </c>
      <c r="D138" s="12" t="s">
        <v>21</v>
      </c>
      <c r="E138" s="13">
        <v>46120</v>
      </c>
      <c r="F138" s="11">
        <v>7.0571999999999999</v>
      </c>
      <c r="G138" s="11">
        <v>57.74</v>
      </c>
      <c r="H138" s="11">
        <v>1</v>
      </c>
      <c r="I138" s="11">
        <v>12.6252</v>
      </c>
      <c r="J138" s="11">
        <v>42.244100000000003</v>
      </c>
      <c r="K138" s="11">
        <v>0.88</v>
      </c>
      <c r="L138" s="15">
        <f t="shared" si="2"/>
        <v>9.6233333333333331</v>
      </c>
      <c r="M138" s="14">
        <f>IF(Tabla15[[#This Row],[COMBUSTIBLE]]="PETRÓLEO",L138*$Q$2,L138*$Q$4)</f>
        <v>11557.623333333333</v>
      </c>
      <c r="N138" s="12" t="str">
        <f>IF(OR(WEEKDAY(Tabla15[[#This Row],[Fecha]],2)=6,WEEKDAY(Tabla15[[#This Row],[Fecha]],2)=7),"Fin de semana","Semana")</f>
        <v>Semana</v>
      </c>
    </row>
    <row r="139" spans="1:14" ht="12.75" customHeight="1" x14ac:dyDescent="0.25">
      <c r="A139" s="11" t="str">
        <f>_xlfn.XLOOKUP(Tabla15[[#This Row],[GPS]],Hoja3!A:A,Hoja3!B:B)</f>
        <v>TRACTOR</v>
      </c>
      <c r="B139" s="11" t="str">
        <f>_xlfn.XLOOKUP(GPS!D139,Hoja3!A:A,Hoja3!D:D)</f>
        <v>PETRÓLEO</v>
      </c>
      <c r="C139" s="12" t="str">
        <f>_xlfn.XLOOKUP(Tabla15[[#This Row],[GPS]],Hoja3!A:A,Hoja3!C:C)</f>
        <v>T4</v>
      </c>
      <c r="D139" s="12" t="s">
        <v>23</v>
      </c>
      <c r="E139" s="13">
        <v>46120</v>
      </c>
      <c r="F139" s="11">
        <v>6.9889000000000001</v>
      </c>
      <c r="G139" s="11">
        <v>41.61</v>
      </c>
      <c r="H139" s="11">
        <v>1</v>
      </c>
      <c r="I139" s="11">
        <v>7.0853000000000002</v>
      </c>
      <c r="J139" s="11">
        <v>33.002600000000001</v>
      </c>
      <c r="K139" s="11">
        <v>0.87</v>
      </c>
      <c r="L139" s="15">
        <f t="shared" si="2"/>
        <v>6.9349999999999996</v>
      </c>
      <c r="M139" s="14">
        <f>IF(Tabla15[[#This Row],[COMBUSTIBLE]]="PETRÓLEO",L139*$Q$2,L139*$Q$4)</f>
        <v>8328.9349999999995</v>
      </c>
      <c r="N139" s="12" t="str">
        <f>IF(OR(WEEKDAY(Tabla15[[#This Row],[Fecha]],2)=6,WEEKDAY(Tabla15[[#This Row],[Fecha]],2)=7),"Fin de semana","Semana")</f>
        <v>Semana</v>
      </c>
    </row>
    <row r="140" spans="1:14" ht="12.75" customHeight="1" x14ac:dyDescent="0.25">
      <c r="A140" s="11" t="str">
        <f>_xlfn.XLOOKUP(Tabla15[[#This Row],[GPS]],Hoja3!A:A,Hoja3!B:B)</f>
        <v>TRACTOR</v>
      </c>
      <c r="B140" s="11" t="str">
        <f>_xlfn.XLOOKUP(GPS!D140,Hoja3!A:A,Hoja3!D:D)</f>
        <v>PETRÓLEO</v>
      </c>
      <c r="C140" s="12" t="str">
        <f>_xlfn.XLOOKUP(Tabla15[[#This Row],[GPS]],Hoja3!A:A,Hoja3!C:C)</f>
        <v>TA01</v>
      </c>
      <c r="D140" s="12" t="s">
        <v>29</v>
      </c>
      <c r="E140" s="13">
        <v>46120</v>
      </c>
      <c r="F140" s="11">
        <v>6.8464</v>
      </c>
      <c r="G140" s="11">
        <v>32.07</v>
      </c>
      <c r="H140" s="11">
        <v>1</v>
      </c>
      <c r="I140" s="11">
        <v>6.4284999999999997</v>
      </c>
      <c r="J140" s="11">
        <v>31.150600000000001</v>
      </c>
      <c r="K140" s="11">
        <v>0.86</v>
      </c>
      <c r="L140" s="15">
        <f t="shared" si="2"/>
        <v>5.3449999999999998</v>
      </c>
      <c r="M140" s="14">
        <f>IF(Tabla15[[#This Row],[COMBUSTIBLE]]="PETRÓLEO",L140*$Q$2,L140*$Q$4)</f>
        <v>6419.3449999999993</v>
      </c>
      <c r="N140" s="12" t="str">
        <f>IF(OR(WEEKDAY(Tabla15[[#This Row],[Fecha]],2)=6,WEEKDAY(Tabla15[[#This Row],[Fecha]],2)=7),"Fin de semana","Semana")</f>
        <v>Semana</v>
      </c>
    </row>
    <row r="141" spans="1:14" ht="12.75" customHeight="1" x14ac:dyDescent="0.25">
      <c r="A141" s="11" t="str">
        <f>_xlfn.XLOOKUP(Tabla15[[#This Row],[GPS]],Hoja3!A:A,Hoja3!B:B)</f>
        <v>CAMIONETA</v>
      </c>
      <c r="B141" s="11" t="str">
        <f>_xlfn.XLOOKUP(GPS!D141,Hoja3!A:A,Hoja3!D:D)</f>
        <v>PETRÓLEO</v>
      </c>
      <c r="C141" s="12" t="str">
        <f>_xlfn.XLOOKUP(Tabla15[[#This Row],[GPS]],Hoja3!A:A,Hoja3!C:C)</f>
        <v>CAMPO PAINE</v>
      </c>
      <c r="D141" s="12" t="s">
        <v>131</v>
      </c>
      <c r="E141" s="13">
        <v>46120</v>
      </c>
      <c r="F141" s="11">
        <v>6.6738999999999997</v>
      </c>
      <c r="G141" s="11">
        <v>82.76</v>
      </c>
      <c r="H141" s="11">
        <v>1</v>
      </c>
      <c r="I141" s="11">
        <v>22.752600000000001</v>
      </c>
      <c r="J141" s="11">
        <v>111.97190000000001</v>
      </c>
      <c r="K141" s="11">
        <v>0.83</v>
      </c>
      <c r="L141" s="15">
        <f t="shared" si="2"/>
        <v>9.1955555555555559</v>
      </c>
      <c r="M141" s="14">
        <f>IF(Tabla15[[#This Row],[COMBUSTIBLE]]="PETRÓLEO",L141*$Q$2,L141*$Q$4)</f>
        <v>11043.862222222222</v>
      </c>
      <c r="N141" s="12" t="str">
        <f>IF(OR(WEEKDAY(Tabla15[[#This Row],[Fecha]],2)=6,WEEKDAY(Tabla15[[#This Row],[Fecha]],2)=7),"Fin de semana","Semana")</f>
        <v>Semana</v>
      </c>
    </row>
    <row r="142" spans="1:14" ht="12.75" customHeight="1" x14ac:dyDescent="0.25">
      <c r="A142" s="11" t="str">
        <f>_xlfn.XLOOKUP(Tabla15[[#This Row],[GPS]],Hoja3!A:A,Hoja3!B:B)</f>
        <v>CAMIONETA</v>
      </c>
      <c r="B142" s="11" t="str">
        <f>_xlfn.XLOOKUP(GPS!D142,Hoja3!A:A,Hoja3!D:D)</f>
        <v>PETRÓLEO</v>
      </c>
      <c r="C142" s="12" t="str">
        <f>_xlfn.XLOOKUP(Tabla15[[#This Row],[GPS]],Hoja3!A:A,Hoja3!C:C)</f>
        <v>RODRIGO SALINAS</v>
      </c>
      <c r="D142" s="12" t="s">
        <v>109</v>
      </c>
      <c r="E142" s="13">
        <v>46120</v>
      </c>
      <c r="F142" s="11">
        <v>5.0506000000000002</v>
      </c>
      <c r="G142" s="11">
        <v>136.69</v>
      </c>
      <c r="H142" s="11">
        <v>1</v>
      </c>
      <c r="I142" s="11">
        <v>37.259700000000002</v>
      </c>
      <c r="J142" s="11">
        <v>203.4237</v>
      </c>
      <c r="K142" s="11">
        <v>0.63</v>
      </c>
      <c r="L142" s="15">
        <f t="shared" si="2"/>
        <v>15.187777777777777</v>
      </c>
      <c r="M142" s="14">
        <f>IF(Tabla15[[#This Row],[COMBUSTIBLE]]="PETRÓLEO",L142*$Q$2,L142*$Q$4)</f>
        <v>18240.521111111109</v>
      </c>
      <c r="N142" s="12" t="str">
        <f>IF(OR(WEEKDAY(Tabla15[[#This Row],[Fecha]],2)=6,WEEKDAY(Tabla15[[#This Row],[Fecha]],2)=7),"Fin de semana","Semana")</f>
        <v>Semana</v>
      </c>
    </row>
    <row r="143" spans="1:14" ht="12.75" customHeight="1" x14ac:dyDescent="0.25">
      <c r="A143" s="11" t="str">
        <f>_xlfn.XLOOKUP(Tabla15[[#This Row],[GPS]],Hoja3!A:A,Hoja3!B:B)</f>
        <v>TRACTOR</v>
      </c>
      <c r="B143" s="11" t="str">
        <f>_xlfn.XLOOKUP(GPS!D143,Hoja3!A:A,Hoja3!D:D)</f>
        <v>PETRÓLEO</v>
      </c>
      <c r="C143" s="12" t="str">
        <f>_xlfn.XLOOKUP(Tabla15[[#This Row],[GPS]],Hoja3!A:A,Hoja3!C:C)</f>
        <v>T12</v>
      </c>
      <c r="D143" s="12" t="s">
        <v>17</v>
      </c>
      <c r="E143" s="13">
        <v>46120</v>
      </c>
      <c r="F143" s="11">
        <v>4.2747000000000002</v>
      </c>
      <c r="G143" s="11">
        <v>21.02</v>
      </c>
      <c r="H143" s="11">
        <v>1</v>
      </c>
      <c r="I143" s="11">
        <v>6.6699000000000002</v>
      </c>
      <c r="J143" s="11">
        <v>66.857200000000006</v>
      </c>
      <c r="K143" s="11">
        <v>0.53</v>
      </c>
      <c r="L143" s="15">
        <f t="shared" si="2"/>
        <v>3.5033333333333334</v>
      </c>
      <c r="M143" s="14">
        <f>IF(Tabla15[[#This Row],[COMBUSTIBLE]]="PETRÓLEO",L143*$Q$2,L143*$Q$4)</f>
        <v>4207.5033333333331</v>
      </c>
      <c r="N143" s="12" t="str">
        <f>IF(OR(WEEKDAY(Tabla15[[#This Row],[Fecha]],2)=6,WEEKDAY(Tabla15[[#This Row],[Fecha]],2)=7),"Fin de semana","Semana")</f>
        <v>Semana</v>
      </c>
    </row>
    <row r="144" spans="1:14" ht="12.75" customHeight="1" x14ac:dyDescent="0.25">
      <c r="A144" s="11" t="str">
        <f>_xlfn.XLOOKUP(Tabla15[[#This Row],[GPS]],Hoja3!A:A,Hoja3!B:B)</f>
        <v>CAMIONETA</v>
      </c>
      <c r="B144" s="11" t="str">
        <f>_xlfn.XLOOKUP(GPS!D144,Hoja3!A:A,Hoja3!D:D)</f>
        <v>PETRÓLEO</v>
      </c>
      <c r="C144" s="12" t="str">
        <f>_xlfn.XLOOKUP(Tabla15[[#This Row],[GPS]],Hoja3!A:A,Hoja3!C:C)</f>
        <v>CAMPO RULO</v>
      </c>
      <c r="D144" s="12" t="s">
        <v>135</v>
      </c>
      <c r="E144" s="13">
        <v>46120</v>
      </c>
      <c r="F144" s="11">
        <v>3.9424999999999999</v>
      </c>
      <c r="G144" s="11">
        <v>78.16</v>
      </c>
      <c r="H144" s="11">
        <v>1</v>
      </c>
      <c r="I144" s="11">
        <v>25.9999</v>
      </c>
      <c r="J144" s="11">
        <v>304.00580000000002</v>
      </c>
      <c r="K144" s="11">
        <v>0.49</v>
      </c>
      <c r="L144" s="15">
        <f t="shared" si="2"/>
        <v>8.6844444444444449</v>
      </c>
      <c r="M144" s="14">
        <f>IF(Tabla15[[#This Row],[COMBUSTIBLE]]="PETRÓLEO",L144*$Q$2,L144*$Q$4)</f>
        <v>10430.017777777779</v>
      </c>
      <c r="N144" s="12" t="str">
        <f>IF(OR(WEEKDAY(Tabla15[[#This Row],[Fecha]],2)=6,WEEKDAY(Tabla15[[#This Row],[Fecha]],2)=7),"Fin de semana","Semana")</f>
        <v>Semana</v>
      </c>
    </row>
    <row r="145" spans="1:14" ht="12.75" customHeight="1" x14ac:dyDescent="0.25">
      <c r="A145" s="11" t="str">
        <f>_xlfn.XLOOKUP(Tabla15[[#This Row],[GPS]],Hoja3!A:A,Hoja3!B:B)</f>
        <v>CAMIONETA</v>
      </c>
      <c r="B145" s="11" t="str">
        <f>_xlfn.XLOOKUP(GPS!D145,Hoja3!A:A,Hoja3!D:D)</f>
        <v>PETRÓLEO</v>
      </c>
      <c r="C145" s="12" t="str">
        <f>_xlfn.XLOOKUP(Tabla15[[#This Row],[GPS]],Hoja3!A:A,Hoja3!C:C)</f>
        <v>CAMPO CERRILLOS</v>
      </c>
      <c r="D145" s="12" t="s">
        <v>121</v>
      </c>
      <c r="E145" s="13">
        <v>46120</v>
      </c>
      <c r="F145" s="11">
        <v>3.2492000000000001</v>
      </c>
      <c r="G145" s="11">
        <v>47.59</v>
      </c>
      <c r="H145" s="11">
        <v>1</v>
      </c>
      <c r="I145" s="11">
        <v>16.466000000000001</v>
      </c>
      <c r="J145" s="11">
        <v>55</v>
      </c>
      <c r="K145" s="11">
        <v>0.41</v>
      </c>
      <c r="L145" s="15">
        <f t="shared" si="2"/>
        <v>5.2877777777777784</v>
      </c>
      <c r="M145" s="14">
        <f>IF(Tabla15[[#This Row],[COMBUSTIBLE]]="PETRÓLEO",L145*$Q$2,L145*$Q$4)</f>
        <v>6350.6211111111115</v>
      </c>
      <c r="N145" s="12" t="str">
        <f>IF(OR(WEEKDAY(Tabla15[[#This Row],[Fecha]],2)=6,WEEKDAY(Tabla15[[#This Row],[Fecha]],2)=7),"Fin de semana","Semana")</f>
        <v>Semana</v>
      </c>
    </row>
    <row r="146" spans="1:14" ht="12.75" customHeight="1" x14ac:dyDescent="0.25">
      <c r="A146" s="11" t="str">
        <f>_xlfn.XLOOKUP(Tabla15[[#This Row],[GPS]],Hoja3!A:A,Hoja3!B:B)</f>
        <v>CAMIONETA</v>
      </c>
      <c r="B146" s="11" t="str">
        <f>_xlfn.XLOOKUP(GPS!D146,Hoja3!A:A,Hoja3!D:D)</f>
        <v>PETRÓLEO</v>
      </c>
      <c r="C146" s="12" t="str">
        <f>_xlfn.XLOOKUP(Tabla15[[#This Row],[GPS]],Hoja3!A:A,Hoja3!C:C)</f>
        <v>GONZALO GUERRERO</v>
      </c>
      <c r="D146" s="12" t="s">
        <v>126</v>
      </c>
      <c r="E146" s="13">
        <v>46120</v>
      </c>
      <c r="F146" s="11">
        <v>0.91469999999999996</v>
      </c>
      <c r="G146" s="11">
        <v>30.86</v>
      </c>
      <c r="H146" s="11">
        <v>1</v>
      </c>
      <c r="I146" s="11">
        <v>39.573799999999999</v>
      </c>
      <c r="J146" s="11">
        <v>115.0001</v>
      </c>
      <c r="K146" s="11">
        <v>0.11</v>
      </c>
      <c r="L146" s="15">
        <f t="shared" si="2"/>
        <v>3.4288888888888889</v>
      </c>
      <c r="M146" s="14">
        <f>IF(Tabla15[[#This Row],[COMBUSTIBLE]]="PETRÓLEO",L146*$Q$2,L146*$Q$4)</f>
        <v>4118.0955555555556</v>
      </c>
      <c r="N146" s="12" t="str">
        <f>IF(OR(WEEKDAY(Tabla15[[#This Row],[Fecha]],2)=6,WEEKDAY(Tabla15[[#This Row],[Fecha]],2)=7),"Fin de semana","Semana")</f>
        <v>Semana</v>
      </c>
    </row>
    <row r="147" spans="1:14" ht="12.75" customHeight="1" x14ac:dyDescent="0.25">
      <c r="A147" s="11" t="str">
        <f>_xlfn.XLOOKUP(Tabla15[[#This Row],[GPS]],Hoja3!A:A,Hoja3!B:B)</f>
        <v>CAMIONETA</v>
      </c>
      <c r="B147" s="11" t="str">
        <f>_xlfn.XLOOKUP(GPS!D147,Hoja3!A:A,Hoja3!D:D)</f>
        <v>BENCINA</v>
      </c>
      <c r="C147" s="12" t="str">
        <f>_xlfn.XLOOKUP(Tabla15[[#This Row],[GPS]],Hoja3!A:A,Hoja3!C:C)</f>
        <v>VG CERRILLOS</v>
      </c>
      <c r="D147" s="12" t="s">
        <v>137</v>
      </c>
      <c r="E147" s="13">
        <v>46120</v>
      </c>
      <c r="F147" s="11">
        <v>0</v>
      </c>
      <c r="G147" s="11">
        <v>61.76</v>
      </c>
      <c r="H147" s="11">
        <v>1</v>
      </c>
      <c r="I147" s="11">
        <v>19.622499999999999</v>
      </c>
      <c r="J147" s="11">
        <v>91.637</v>
      </c>
      <c r="K147" s="11">
        <v>0</v>
      </c>
      <c r="L147" s="15">
        <f t="shared" si="2"/>
        <v>5.6145454545454543</v>
      </c>
      <c r="M147" s="14">
        <f>IF(Tabla15[[#This Row],[COMBUSTIBLE]]="PETRÓLEO",L147*$Q$2,L147*$Q$4)</f>
        <v>8702.545454545454</v>
      </c>
      <c r="N147" s="12" t="str">
        <f>IF(OR(WEEKDAY(Tabla15[[#This Row],[Fecha]],2)=6,WEEKDAY(Tabla15[[#This Row],[Fecha]],2)=7),"Fin de semana","Semana")</f>
        <v>Semana</v>
      </c>
    </row>
    <row r="148" spans="1:14" ht="12.75" customHeight="1" x14ac:dyDescent="0.25">
      <c r="A148" s="11" t="str">
        <f>_xlfn.XLOOKUP(Tabla15[[#This Row],[GPS]],Hoja3!A:A,Hoja3!B:B)</f>
        <v>CAMIONETA</v>
      </c>
      <c r="B148" s="11" t="str">
        <f>_xlfn.XLOOKUP(GPS!D148,Hoja3!A:A,Hoja3!D:D)</f>
        <v>BENCINA</v>
      </c>
      <c r="C148" s="12" t="str">
        <f>_xlfn.XLOOKUP(Tabla15[[#This Row],[GPS]],Hoja3!A:A,Hoja3!C:C)</f>
        <v>VG PIÑALEO</v>
      </c>
      <c r="D148" s="12" t="s">
        <v>114</v>
      </c>
      <c r="E148" s="13">
        <v>46120</v>
      </c>
      <c r="F148" s="11">
        <v>0</v>
      </c>
      <c r="G148" s="11">
        <v>92.43</v>
      </c>
      <c r="H148" s="11">
        <v>1</v>
      </c>
      <c r="I148" s="11">
        <v>46.045099999999998</v>
      </c>
      <c r="J148" s="11">
        <v>114.0001</v>
      </c>
      <c r="K148" s="11">
        <v>0</v>
      </c>
      <c r="L148" s="15">
        <f t="shared" si="2"/>
        <v>8.4027272727272742</v>
      </c>
      <c r="M148" s="14">
        <f>IF(Tabla15[[#This Row],[COMBUSTIBLE]]="PETRÓLEO",L148*$Q$2,L148*$Q$4)</f>
        <v>13024.227272727276</v>
      </c>
      <c r="N148" s="12" t="str">
        <f>IF(OR(WEEKDAY(Tabla15[[#This Row],[Fecha]],2)=6,WEEKDAY(Tabla15[[#This Row],[Fecha]],2)=7),"Fin de semana","Semana")</f>
        <v>Semana</v>
      </c>
    </row>
    <row r="149" spans="1:14" ht="12.75" customHeight="1" x14ac:dyDescent="0.25">
      <c r="A149" s="11" t="str">
        <f>_xlfn.XLOOKUP(Tabla15[[#This Row],[GPS]],Hoja3!A:A,Hoja3!B:B)</f>
        <v>CAMIONETA</v>
      </c>
      <c r="B149" s="11" t="str">
        <f>_xlfn.XLOOKUP(GPS!D149,Hoja3!A:A,Hoja3!D:D)</f>
        <v>BENCINA</v>
      </c>
      <c r="C149" s="12" t="str">
        <f>_xlfn.XLOOKUP(Tabla15[[#This Row],[GPS]],Hoja3!A:A,Hoja3!C:C)</f>
        <v>VG GERARDO</v>
      </c>
      <c r="D149" s="12" t="s">
        <v>118</v>
      </c>
      <c r="E149" s="13">
        <v>46120</v>
      </c>
      <c r="F149" s="11">
        <v>0</v>
      </c>
      <c r="G149" s="11">
        <v>40.31</v>
      </c>
      <c r="H149" s="11">
        <v>1</v>
      </c>
      <c r="I149" s="11">
        <v>26.648700000000002</v>
      </c>
      <c r="J149" s="11">
        <v>89.000100000000003</v>
      </c>
      <c r="K149" s="11">
        <v>0</v>
      </c>
      <c r="L149" s="15">
        <f t="shared" si="2"/>
        <v>3.6645454545454546</v>
      </c>
      <c r="M149" s="14">
        <f>IF(Tabla15[[#This Row],[COMBUSTIBLE]]="PETRÓLEO",L149*$Q$2,L149*$Q$4)</f>
        <v>5680.045454545455</v>
      </c>
      <c r="N149" s="12" t="str">
        <f>IF(OR(WEEKDAY(Tabla15[[#This Row],[Fecha]],2)=6,WEEKDAY(Tabla15[[#This Row],[Fecha]],2)=7),"Fin de semana","Semana")</f>
        <v>Semana</v>
      </c>
    </row>
    <row r="150" spans="1:14" ht="12.75" customHeight="1" x14ac:dyDescent="0.25">
      <c r="A150" s="11" t="str">
        <f>_xlfn.XLOOKUP(Tabla15[[#This Row],[GPS]],Hoja3!A:A,Hoja3!B:B)</f>
        <v>CAMIONETA</v>
      </c>
      <c r="B150" s="11" t="str">
        <f>_xlfn.XLOOKUP(GPS!D150,Hoja3!A:A,Hoja3!D:D)</f>
        <v>PETRÓLEO</v>
      </c>
      <c r="C150" s="12" t="str">
        <f>_xlfn.XLOOKUP(Tabla15[[#This Row],[GPS]],Hoja3!A:A,Hoja3!C:C)</f>
        <v>SERGIO ROJAS</v>
      </c>
      <c r="D150" s="12" t="s">
        <v>128</v>
      </c>
      <c r="E150" s="13">
        <v>46120</v>
      </c>
      <c r="F150" s="11">
        <v>0</v>
      </c>
      <c r="G150" s="11">
        <v>31.65</v>
      </c>
      <c r="H150" s="11">
        <v>1</v>
      </c>
      <c r="I150" s="11">
        <v>16.023399999999999</v>
      </c>
      <c r="J150" s="11">
        <v>53.244999999999997</v>
      </c>
      <c r="K150" s="11">
        <v>0</v>
      </c>
      <c r="L150" s="15">
        <f t="shared" si="2"/>
        <v>3.5166666666666666</v>
      </c>
      <c r="M150" s="14">
        <f>IF(Tabla15[[#This Row],[COMBUSTIBLE]]="PETRÓLEO",L150*$Q$2,L150*$Q$4)</f>
        <v>4223.5166666666664</v>
      </c>
      <c r="N150" s="12" t="str">
        <f>IF(OR(WEEKDAY(Tabla15[[#This Row],[Fecha]],2)=6,WEEKDAY(Tabla15[[#This Row],[Fecha]],2)=7),"Fin de semana","Semana")</f>
        <v>Semana</v>
      </c>
    </row>
    <row r="151" spans="1:14" ht="12.75" customHeight="1" x14ac:dyDescent="0.25">
      <c r="A151" s="11" t="str">
        <f>_xlfn.XLOOKUP(Tabla15[[#This Row],[GPS]],Hoja3!A:A,Hoja3!B:B)</f>
        <v>TRACTOR</v>
      </c>
      <c r="B151" s="11" t="str">
        <f>_xlfn.XLOOKUP(GPS!D151,Hoja3!A:A,Hoja3!D:D)</f>
        <v>PETRÓLEO</v>
      </c>
      <c r="C151" s="12" t="str">
        <f>_xlfn.XLOOKUP(Tabla15[[#This Row],[GPS]],Hoja3!A:A,Hoja3!C:C)</f>
        <v>T7</v>
      </c>
      <c r="D151" s="12" t="s">
        <v>26</v>
      </c>
      <c r="E151" s="13">
        <v>46121</v>
      </c>
      <c r="F151" s="11">
        <v>9.5767000000000007</v>
      </c>
      <c r="G151" s="11">
        <v>22.41</v>
      </c>
      <c r="H151" s="11">
        <v>1</v>
      </c>
      <c r="I151" s="11">
        <v>5.7923999999999998</v>
      </c>
      <c r="J151" s="11">
        <v>22.65</v>
      </c>
      <c r="K151" s="11">
        <v>1.2</v>
      </c>
      <c r="L151" s="15">
        <f t="shared" si="2"/>
        <v>3.7349999999999999</v>
      </c>
      <c r="M151" s="14">
        <f>IF(Tabla15[[#This Row],[COMBUSTIBLE]]="PETRÓLEO",L151*$Q$2,L151*$Q$4)</f>
        <v>4485.7349999999997</v>
      </c>
      <c r="N151" s="12" t="str">
        <f>IF(OR(WEEKDAY(Tabla15[[#This Row],[Fecha]],2)=6,WEEKDAY(Tabla15[[#This Row],[Fecha]],2)=7),"Fin de semana","Semana")</f>
        <v>Semana</v>
      </c>
    </row>
    <row r="152" spans="1:14" ht="12.75" customHeight="1" x14ac:dyDescent="0.25">
      <c r="A152" s="11" t="str">
        <f>_xlfn.XLOOKUP(Tabla15[[#This Row],[GPS]],Hoja3!A:A,Hoja3!B:B)</f>
        <v>TRACTOR</v>
      </c>
      <c r="B152" s="11" t="str">
        <f>_xlfn.XLOOKUP(GPS!D152,Hoja3!A:A,Hoja3!D:D)</f>
        <v>PETRÓLEO</v>
      </c>
      <c r="C152" s="12" t="str">
        <f>_xlfn.XLOOKUP(Tabla15[[#This Row],[GPS]],Hoja3!A:A,Hoja3!C:C)</f>
        <v>TA01</v>
      </c>
      <c r="D152" s="12" t="s">
        <v>29</v>
      </c>
      <c r="E152" s="13">
        <v>46121</v>
      </c>
      <c r="F152" s="11">
        <v>6.5496999999999996</v>
      </c>
      <c r="G152" s="11">
        <v>28.89</v>
      </c>
      <c r="H152" s="11">
        <v>1</v>
      </c>
      <c r="I152" s="11">
        <v>5.8651</v>
      </c>
      <c r="J152" s="11">
        <v>25.557600000000001</v>
      </c>
      <c r="K152" s="11">
        <v>0.82</v>
      </c>
      <c r="L152" s="15">
        <f t="shared" si="2"/>
        <v>4.8150000000000004</v>
      </c>
      <c r="M152" s="14">
        <f>IF(Tabla15[[#This Row],[COMBUSTIBLE]]="PETRÓLEO",L152*$Q$2,L152*$Q$4)</f>
        <v>5782.8150000000005</v>
      </c>
      <c r="N152" s="12" t="str">
        <f>IF(OR(WEEKDAY(Tabla15[[#This Row],[Fecha]],2)=6,WEEKDAY(Tabla15[[#This Row],[Fecha]],2)=7),"Fin de semana","Semana")</f>
        <v>Semana</v>
      </c>
    </row>
    <row r="153" spans="1:14" ht="12.75" customHeight="1" x14ac:dyDescent="0.25">
      <c r="A153" s="11" t="str">
        <f>_xlfn.XLOOKUP(Tabla15[[#This Row],[GPS]],Hoja3!A:A,Hoja3!B:B)</f>
        <v>TRACTOR</v>
      </c>
      <c r="B153" s="11" t="str">
        <f>_xlfn.XLOOKUP(GPS!D153,Hoja3!A:A,Hoja3!D:D)</f>
        <v>PETRÓLEO</v>
      </c>
      <c r="C153" s="12" t="str">
        <f>_xlfn.XLOOKUP(Tabla15[[#This Row],[GPS]],Hoja3!A:A,Hoja3!C:C)</f>
        <v>TA02</v>
      </c>
      <c r="D153" s="12" t="s">
        <v>30</v>
      </c>
      <c r="E153" s="13">
        <v>46121</v>
      </c>
      <c r="F153" s="11">
        <v>6.1722000000000001</v>
      </c>
      <c r="G153" s="11">
        <v>2.29</v>
      </c>
      <c r="H153" s="11">
        <v>1</v>
      </c>
      <c r="I153" s="11">
        <v>6.8064999999999998</v>
      </c>
      <c r="J153" s="11">
        <v>151.0121</v>
      </c>
      <c r="K153" s="11">
        <v>0.77</v>
      </c>
      <c r="L153" s="15">
        <f t="shared" si="2"/>
        <v>0.38166666666666665</v>
      </c>
      <c r="M153" s="14">
        <f>IF(Tabla15[[#This Row],[COMBUSTIBLE]]="PETRÓLEO",L153*$Q$2,L153*$Q$4)</f>
        <v>458.38166666666666</v>
      </c>
      <c r="N153" s="12" t="str">
        <f>IF(OR(WEEKDAY(Tabla15[[#This Row],[Fecha]],2)=6,WEEKDAY(Tabla15[[#This Row],[Fecha]],2)=7),"Fin de semana","Semana")</f>
        <v>Semana</v>
      </c>
    </row>
    <row r="154" spans="1:14" ht="12.75" customHeight="1" x14ac:dyDescent="0.25">
      <c r="A154" s="11" t="str">
        <f>_xlfn.XLOOKUP(Tabla15[[#This Row],[GPS]],Hoja3!A:A,Hoja3!B:B)</f>
        <v>TRACTOR</v>
      </c>
      <c r="B154" s="11" t="str">
        <f>_xlfn.XLOOKUP(GPS!D154,Hoja3!A:A,Hoja3!D:D)</f>
        <v>PETRÓLEO</v>
      </c>
      <c r="C154" s="12" t="str">
        <f>_xlfn.XLOOKUP(Tabla15[[#This Row],[GPS]],Hoja3!A:A,Hoja3!C:C)</f>
        <v>T13</v>
      </c>
      <c r="D154" s="12" t="s">
        <v>19</v>
      </c>
      <c r="E154" s="13">
        <v>46121</v>
      </c>
      <c r="F154" s="11">
        <v>5.8849999999999998</v>
      </c>
      <c r="G154" s="11">
        <v>23.9</v>
      </c>
      <c r="H154" s="11">
        <v>1</v>
      </c>
      <c r="I154" s="11">
        <v>5.8244999999999996</v>
      </c>
      <c r="J154" s="11">
        <v>33.595300000000002</v>
      </c>
      <c r="K154" s="11">
        <v>0.74</v>
      </c>
      <c r="L154" s="15">
        <f t="shared" si="2"/>
        <v>3.9833333333333329</v>
      </c>
      <c r="M154" s="14">
        <f>IF(Tabla15[[#This Row],[COMBUSTIBLE]]="PETRÓLEO",L154*$Q$2,L154*$Q$4)</f>
        <v>4783.9833333333327</v>
      </c>
      <c r="N154" s="12" t="str">
        <f>IF(OR(WEEKDAY(Tabla15[[#This Row],[Fecha]],2)=6,WEEKDAY(Tabla15[[#This Row],[Fecha]],2)=7),"Fin de semana","Semana")</f>
        <v>Semana</v>
      </c>
    </row>
    <row r="155" spans="1:14" ht="12.75" customHeight="1" x14ac:dyDescent="0.25">
      <c r="A155" s="11" t="str">
        <f>_xlfn.XLOOKUP(Tabla15[[#This Row],[GPS]],Hoja3!A:A,Hoja3!B:B)</f>
        <v>TRACTOR</v>
      </c>
      <c r="B155" s="11" t="str">
        <f>_xlfn.XLOOKUP(GPS!D155,Hoja3!A:A,Hoja3!D:D)</f>
        <v>PETRÓLEO</v>
      </c>
      <c r="C155" s="12" t="str">
        <f>_xlfn.XLOOKUP(Tabla15[[#This Row],[GPS]],Hoja3!A:A,Hoja3!C:C)</f>
        <v>T10</v>
      </c>
      <c r="D155" s="12" t="s">
        <v>14</v>
      </c>
      <c r="E155" s="13">
        <v>46121</v>
      </c>
      <c r="F155" s="11">
        <v>5.3117000000000001</v>
      </c>
      <c r="G155" s="11">
        <v>26.94</v>
      </c>
      <c r="H155" s="11">
        <v>1</v>
      </c>
      <c r="I155" s="11">
        <v>5.4786999999999999</v>
      </c>
      <c r="J155" s="11">
        <v>25.613199999999999</v>
      </c>
      <c r="K155" s="11">
        <v>0.66</v>
      </c>
      <c r="L155" s="15">
        <f t="shared" si="2"/>
        <v>4.49</v>
      </c>
      <c r="M155" s="14">
        <f>IF(Tabla15[[#This Row],[COMBUSTIBLE]]="PETRÓLEO",L155*$Q$2,L155*$Q$4)</f>
        <v>5392.4900000000007</v>
      </c>
      <c r="N155" s="12" t="str">
        <f>IF(OR(WEEKDAY(Tabla15[[#This Row],[Fecha]],2)=6,WEEKDAY(Tabla15[[#This Row],[Fecha]],2)=7),"Fin de semana","Semana")</f>
        <v>Semana</v>
      </c>
    </row>
    <row r="156" spans="1:14" ht="12.75" customHeight="1" x14ac:dyDescent="0.25">
      <c r="A156" s="11" t="str">
        <f>_xlfn.XLOOKUP(Tabla15[[#This Row],[GPS]],Hoja3!A:A,Hoja3!B:B)</f>
        <v>TRACTOR</v>
      </c>
      <c r="B156" s="11" t="str">
        <f>_xlfn.XLOOKUP(GPS!D156,Hoja3!A:A,Hoja3!D:D)</f>
        <v>PETRÓLEO</v>
      </c>
      <c r="C156" s="12" t="str">
        <f>_xlfn.XLOOKUP(Tabla15[[#This Row],[GPS]],Hoja3!A:A,Hoja3!C:C)</f>
        <v>T6</v>
      </c>
      <c r="D156" s="12" t="s">
        <v>25</v>
      </c>
      <c r="E156" s="13">
        <v>46121</v>
      </c>
      <c r="F156" s="11">
        <v>5.1275000000000004</v>
      </c>
      <c r="G156" s="11">
        <v>6.17</v>
      </c>
      <c r="H156" s="11">
        <v>1</v>
      </c>
      <c r="I156" s="11">
        <v>4.6376999999999997</v>
      </c>
      <c r="J156" s="11">
        <v>26.6873</v>
      </c>
      <c r="K156" s="11">
        <v>0.64</v>
      </c>
      <c r="L156" s="15">
        <f t="shared" si="2"/>
        <v>1.0283333333333333</v>
      </c>
      <c r="M156" s="14">
        <f>IF(Tabla15[[#This Row],[COMBUSTIBLE]]="PETRÓLEO",L156*$Q$2,L156*$Q$4)</f>
        <v>1235.0283333333334</v>
      </c>
      <c r="N156" s="12" t="str">
        <f>IF(OR(WEEKDAY(Tabla15[[#This Row],[Fecha]],2)=6,WEEKDAY(Tabla15[[#This Row],[Fecha]],2)=7),"Fin de semana","Semana")</f>
        <v>Semana</v>
      </c>
    </row>
    <row r="157" spans="1:14" ht="12.75" customHeight="1" x14ac:dyDescent="0.25">
      <c r="A157" s="11" t="str">
        <f>_xlfn.XLOOKUP(Tabla15[[#This Row],[GPS]],Hoja3!A:A,Hoja3!B:B)</f>
        <v>CAMIONETA</v>
      </c>
      <c r="B157" s="11" t="str">
        <f>_xlfn.XLOOKUP(GPS!D157,Hoja3!A:A,Hoja3!D:D)</f>
        <v>PETRÓLEO</v>
      </c>
      <c r="C157" s="12" t="str">
        <f>_xlfn.XLOOKUP(Tabla15[[#This Row],[GPS]],Hoja3!A:A,Hoja3!C:C)</f>
        <v>RODRIGO SALINAS</v>
      </c>
      <c r="D157" s="12" t="s">
        <v>109</v>
      </c>
      <c r="E157" s="13">
        <v>46121</v>
      </c>
      <c r="F157" s="11">
        <v>4.9717000000000002</v>
      </c>
      <c r="G157" s="11">
        <v>164.23</v>
      </c>
      <c r="H157" s="11">
        <v>1</v>
      </c>
      <c r="I157" s="11">
        <v>41.136600000000001</v>
      </c>
      <c r="J157" s="11">
        <v>159.29050000000001</v>
      </c>
      <c r="K157" s="11">
        <v>0.62</v>
      </c>
      <c r="L157" s="15">
        <f t="shared" si="2"/>
        <v>18.247777777777777</v>
      </c>
      <c r="M157" s="14">
        <f>IF(Tabla15[[#This Row],[COMBUSTIBLE]]="PETRÓLEO",L157*$Q$2,L157*$Q$4)</f>
        <v>21915.581111111111</v>
      </c>
      <c r="N157" s="12" t="str">
        <f>IF(OR(WEEKDAY(Tabla15[[#This Row],[Fecha]],2)=6,WEEKDAY(Tabla15[[#This Row],[Fecha]],2)=7),"Fin de semana","Semana")</f>
        <v>Semana</v>
      </c>
    </row>
    <row r="158" spans="1:14" ht="12.75" customHeight="1" x14ac:dyDescent="0.25">
      <c r="A158" s="11" t="str">
        <f>_xlfn.XLOOKUP(Tabla15[[#This Row],[GPS]],Hoja3!A:A,Hoja3!B:B)</f>
        <v>CAMIONETA</v>
      </c>
      <c r="B158" s="11" t="str">
        <f>_xlfn.XLOOKUP(GPS!D158,Hoja3!A:A,Hoja3!D:D)</f>
        <v>PETRÓLEO</v>
      </c>
      <c r="C158" s="12" t="str">
        <f>_xlfn.XLOOKUP(Tabla15[[#This Row],[GPS]],Hoja3!A:A,Hoja3!C:C)</f>
        <v>CAMPO CERRILLOS</v>
      </c>
      <c r="D158" s="12" t="s">
        <v>121</v>
      </c>
      <c r="E158" s="13">
        <v>46121</v>
      </c>
      <c r="F158" s="11">
        <v>4.1256000000000004</v>
      </c>
      <c r="G158" s="11">
        <v>35.54</v>
      </c>
      <c r="H158" s="11">
        <v>1</v>
      </c>
      <c r="I158" s="11">
        <v>16.135999999999999</v>
      </c>
      <c r="J158" s="11">
        <v>47.559399999999997</v>
      </c>
      <c r="K158" s="11">
        <v>0.52</v>
      </c>
      <c r="L158" s="15">
        <f t="shared" si="2"/>
        <v>3.9488888888888889</v>
      </c>
      <c r="M158" s="14">
        <f>IF(Tabla15[[#This Row],[COMBUSTIBLE]]="PETRÓLEO",L158*$Q$2,L158*$Q$4)</f>
        <v>4742.6155555555551</v>
      </c>
      <c r="N158" s="12" t="str">
        <f>IF(OR(WEEKDAY(Tabla15[[#This Row],[Fecha]],2)=6,WEEKDAY(Tabla15[[#This Row],[Fecha]],2)=7),"Fin de semana","Semana")</f>
        <v>Semana</v>
      </c>
    </row>
    <row r="159" spans="1:14" ht="12.75" customHeight="1" x14ac:dyDescent="0.25">
      <c r="A159" s="11" t="str">
        <f>_xlfn.XLOOKUP(Tabla15[[#This Row],[GPS]],Hoja3!A:A,Hoja3!B:B)</f>
        <v>CAMIONETA</v>
      </c>
      <c r="B159" s="11" t="str">
        <f>_xlfn.XLOOKUP(GPS!D159,Hoja3!A:A,Hoja3!D:D)</f>
        <v>PETRÓLEO</v>
      </c>
      <c r="C159" s="12" t="str">
        <f>_xlfn.XLOOKUP(Tabla15[[#This Row],[GPS]],Hoja3!A:A,Hoja3!C:C)</f>
        <v>CAMPO PAINE</v>
      </c>
      <c r="D159" s="12" t="s">
        <v>131</v>
      </c>
      <c r="E159" s="13">
        <v>46121</v>
      </c>
      <c r="F159" s="11">
        <v>3.7886000000000002</v>
      </c>
      <c r="G159" s="11">
        <v>33.5</v>
      </c>
      <c r="H159" s="11">
        <v>1</v>
      </c>
      <c r="I159" s="11">
        <v>17.942</v>
      </c>
      <c r="J159" s="11">
        <v>97.915199999999999</v>
      </c>
      <c r="K159" s="11">
        <v>0.47</v>
      </c>
      <c r="L159" s="15">
        <f t="shared" si="2"/>
        <v>3.7222222222222223</v>
      </c>
      <c r="M159" s="14">
        <f>IF(Tabla15[[#This Row],[COMBUSTIBLE]]="PETRÓLEO",L159*$Q$2,L159*$Q$4)</f>
        <v>4470.3888888888887</v>
      </c>
      <c r="N159" s="12" t="str">
        <f>IF(OR(WEEKDAY(Tabla15[[#This Row],[Fecha]],2)=6,WEEKDAY(Tabla15[[#This Row],[Fecha]],2)=7),"Fin de semana","Semana")</f>
        <v>Semana</v>
      </c>
    </row>
    <row r="160" spans="1:14" ht="12.75" customHeight="1" x14ac:dyDescent="0.25">
      <c r="A160" s="11" t="str">
        <f>_xlfn.XLOOKUP(Tabla15[[#This Row],[GPS]],Hoja3!A:A,Hoja3!B:B)</f>
        <v>CAMIONETA</v>
      </c>
      <c r="B160" s="11" t="str">
        <f>_xlfn.XLOOKUP(GPS!D160,Hoja3!A:A,Hoja3!D:D)</f>
        <v>PETRÓLEO</v>
      </c>
      <c r="C160" s="12" t="str">
        <f>_xlfn.XLOOKUP(Tabla15[[#This Row],[GPS]],Hoja3!A:A,Hoja3!C:C)</f>
        <v>CAMPO RULO</v>
      </c>
      <c r="D160" s="12" t="s">
        <v>135</v>
      </c>
      <c r="E160" s="13">
        <v>46121</v>
      </c>
      <c r="F160" s="11">
        <v>3.7258</v>
      </c>
      <c r="G160" s="11">
        <v>99.86</v>
      </c>
      <c r="H160" s="11">
        <v>1</v>
      </c>
      <c r="I160" s="11">
        <v>30.274999999999999</v>
      </c>
      <c r="J160" s="11">
        <v>131.75129999999999</v>
      </c>
      <c r="K160" s="11">
        <v>0.47</v>
      </c>
      <c r="L160" s="15">
        <f t="shared" si="2"/>
        <v>11.095555555555556</v>
      </c>
      <c r="M160" s="14">
        <f>IF(Tabla15[[#This Row],[COMBUSTIBLE]]="PETRÓLEO",L160*$Q$2,L160*$Q$4)</f>
        <v>13325.762222222223</v>
      </c>
      <c r="N160" s="12" t="str">
        <f>IF(OR(WEEKDAY(Tabla15[[#This Row],[Fecha]],2)=6,WEEKDAY(Tabla15[[#This Row],[Fecha]],2)=7),"Fin de semana","Semana")</f>
        <v>Semana</v>
      </c>
    </row>
    <row r="161" spans="1:14" ht="12.75" customHeight="1" x14ac:dyDescent="0.25">
      <c r="A161" s="11" t="str">
        <f>_xlfn.XLOOKUP(Tabla15[[#This Row],[GPS]],Hoja3!A:A,Hoja3!B:B)</f>
        <v>TRACTOR</v>
      </c>
      <c r="B161" s="11" t="str">
        <f>_xlfn.XLOOKUP(GPS!D161,Hoja3!A:A,Hoja3!D:D)</f>
        <v>PETRÓLEO</v>
      </c>
      <c r="C161" s="12" t="str">
        <f>_xlfn.XLOOKUP(Tabla15[[#This Row],[GPS]],Hoja3!A:A,Hoja3!C:C)</f>
        <v>T12</v>
      </c>
      <c r="D161" s="12" t="s">
        <v>17</v>
      </c>
      <c r="E161" s="13">
        <v>46121</v>
      </c>
      <c r="F161" s="11">
        <v>3.3725000000000001</v>
      </c>
      <c r="G161" s="11">
        <v>17.77</v>
      </c>
      <c r="H161" s="11">
        <v>1</v>
      </c>
      <c r="I161" s="11">
        <v>6.7205000000000004</v>
      </c>
      <c r="J161" s="11">
        <v>128.08430000000001</v>
      </c>
      <c r="K161" s="11">
        <v>0.42</v>
      </c>
      <c r="L161" s="15">
        <f t="shared" si="2"/>
        <v>2.9616666666666664</v>
      </c>
      <c r="M161" s="14">
        <f>IF(Tabla15[[#This Row],[COMBUSTIBLE]]="PETRÓLEO",L161*$Q$2,L161*$Q$4)</f>
        <v>3556.9616666666666</v>
      </c>
      <c r="N161" s="12" t="str">
        <f>IF(OR(WEEKDAY(Tabla15[[#This Row],[Fecha]],2)=6,WEEKDAY(Tabla15[[#This Row],[Fecha]],2)=7),"Fin de semana","Semana")</f>
        <v>Semana</v>
      </c>
    </row>
    <row r="162" spans="1:14" ht="12.75" customHeight="1" x14ac:dyDescent="0.25">
      <c r="A162" s="11" t="str">
        <f>_xlfn.XLOOKUP(Tabla15[[#This Row],[GPS]],Hoja3!A:A,Hoja3!B:B)</f>
        <v>TRACTOR</v>
      </c>
      <c r="B162" s="11" t="str">
        <f>_xlfn.XLOOKUP(GPS!D162,Hoja3!A:A,Hoja3!D:D)</f>
        <v>PETRÓLEO</v>
      </c>
      <c r="C162" s="12" t="str">
        <f>_xlfn.XLOOKUP(Tabla15[[#This Row],[GPS]],Hoja3!A:A,Hoja3!C:C)</f>
        <v>T8</v>
      </c>
      <c r="D162" s="12" t="s">
        <v>27</v>
      </c>
      <c r="E162" s="13">
        <v>46121</v>
      </c>
      <c r="F162" s="11">
        <v>2.5857999999999999</v>
      </c>
      <c r="G162" s="11">
        <v>19.87</v>
      </c>
      <c r="H162" s="11">
        <v>1</v>
      </c>
      <c r="I162" s="11">
        <v>9.0486000000000004</v>
      </c>
      <c r="J162" s="11">
        <v>41.058799999999998</v>
      </c>
      <c r="K162" s="11">
        <v>0.32</v>
      </c>
      <c r="L162" s="15">
        <f t="shared" si="2"/>
        <v>3.311666666666667</v>
      </c>
      <c r="M162" s="14">
        <f>IF(Tabla15[[#This Row],[COMBUSTIBLE]]="PETRÓLEO",L162*$Q$2,L162*$Q$4)</f>
        <v>3977.311666666667</v>
      </c>
      <c r="N162" s="12" t="str">
        <f>IF(OR(WEEKDAY(Tabla15[[#This Row],[Fecha]],2)=6,WEEKDAY(Tabla15[[#This Row],[Fecha]],2)=7),"Fin de semana","Semana")</f>
        <v>Semana</v>
      </c>
    </row>
    <row r="163" spans="1:14" ht="12.75" customHeight="1" x14ac:dyDescent="0.25">
      <c r="A163" s="11" t="str">
        <f>_xlfn.XLOOKUP(Tabla15[[#This Row],[GPS]],Hoja3!A:A,Hoja3!B:B)</f>
        <v>TRACTOR</v>
      </c>
      <c r="B163" s="11" t="str">
        <f>_xlfn.XLOOKUP(GPS!D163,Hoja3!A:A,Hoja3!D:D)</f>
        <v>PETRÓLEO</v>
      </c>
      <c r="C163" s="12" t="str">
        <f>_xlfn.XLOOKUP(Tabla15[[#This Row],[GPS]],Hoja3!A:A,Hoja3!C:C)</f>
        <v>T14</v>
      </c>
      <c r="D163" s="12" t="s">
        <v>21</v>
      </c>
      <c r="E163" s="13">
        <v>46121</v>
      </c>
      <c r="F163" s="11">
        <v>2.3028</v>
      </c>
      <c r="G163" s="11">
        <v>23.79</v>
      </c>
      <c r="H163" s="11">
        <v>1</v>
      </c>
      <c r="I163" s="11">
        <v>15.43</v>
      </c>
      <c r="J163" s="11">
        <v>45.355499999999999</v>
      </c>
      <c r="K163" s="11">
        <v>0.28999999999999998</v>
      </c>
      <c r="L163" s="15">
        <f t="shared" si="2"/>
        <v>3.9649999999999999</v>
      </c>
      <c r="M163" s="14">
        <f>IF(Tabla15[[#This Row],[COMBUSTIBLE]]="PETRÓLEO",L163*$Q$2,L163*$Q$4)</f>
        <v>4761.9650000000001</v>
      </c>
      <c r="N163" s="12" t="str">
        <f>IF(OR(WEEKDAY(Tabla15[[#This Row],[Fecha]],2)=6,WEEKDAY(Tabla15[[#This Row],[Fecha]],2)=7),"Fin de semana","Semana")</f>
        <v>Semana</v>
      </c>
    </row>
    <row r="164" spans="1:14" ht="12.75" customHeight="1" x14ac:dyDescent="0.25">
      <c r="A164" s="11" t="str">
        <f>_xlfn.XLOOKUP(Tabla15[[#This Row],[GPS]],Hoja3!A:A,Hoja3!B:B)</f>
        <v>CAMIONETA</v>
      </c>
      <c r="B164" s="11" t="str">
        <f>_xlfn.XLOOKUP(GPS!D164,Hoja3!A:A,Hoja3!D:D)</f>
        <v>PETRÓLEO</v>
      </c>
      <c r="C164" s="12" t="str">
        <f>_xlfn.XLOOKUP(Tabla15[[#This Row],[GPS]],Hoja3!A:A,Hoja3!C:C)</f>
        <v>GONZALO GUERRERO</v>
      </c>
      <c r="D164" s="12" t="s">
        <v>126</v>
      </c>
      <c r="E164" s="13">
        <v>46121</v>
      </c>
      <c r="F164" s="11">
        <v>1.2243999999999999</v>
      </c>
      <c r="G164" s="11">
        <v>28.19</v>
      </c>
      <c r="H164" s="11">
        <v>1</v>
      </c>
      <c r="I164" s="11">
        <v>26.984300000000001</v>
      </c>
      <c r="J164" s="11">
        <v>106.2863</v>
      </c>
      <c r="K164" s="11">
        <v>0.15</v>
      </c>
      <c r="L164" s="15">
        <f t="shared" si="2"/>
        <v>3.1322222222222225</v>
      </c>
      <c r="M164" s="14">
        <f>IF(Tabla15[[#This Row],[COMBUSTIBLE]]="PETRÓLEO",L164*$Q$2,L164*$Q$4)</f>
        <v>3761.798888888889</v>
      </c>
      <c r="N164" s="12" t="str">
        <f>IF(OR(WEEKDAY(Tabla15[[#This Row],[Fecha]],2)=6,WEEKDAY(Tabla15[[#This Row],[Fecha]],2)=7),"Fin de semana","Semana")</f>
        <v>Semana</v>
      </c>
    </row>
    <row r="165" spans="1:14" ht="12.75" customHeight="1" x14ac:dyDescent="0.25">
      <c r="A165" s="11" t="str">
        <f>_xlfn.XLOOKUP(Tabla15[[#This Row],[GPS]],Hoja3!A:A,Hoja3!B:B)</f>
        <v>TRACTOR</v>
      </c>
      <c r="B165" s="11" t="str">
        <f>_xlfn.XLOOKUP(GPS!D165,Hoja3!A:A,Hoja3!D:D)</f>
        <v>PETRÓLEO</v>
      </c>
      <c r="C165" s="12" t="str">
        <f>_xlfn.XLOOKUP(Tabla15[[#This Row],[GPS]],Hoja3!A:A,Hoja3!C:C)</f>
        <v>T5</v>
      </c>
      <c r="D165" s="12" t="s">
        <v>24</v>
      </c>
      <c r="E165" s="13">
        <v>46121</v>
      </c>
      <c r="F165" s="11">
        <v>0.31309999999999999</v>
      </c>
      <c r="G165" s="11">
        <v>1.47</v>
      </c>
      <c r="H165" s="11">
        <v>1</v>
      </c>
      <c r="I165" s="11">
        <v>9.5390999999999995</v>
      </c>
      <c r="J165" s="11">
        <v>21</v>
      </c>
      <c r="K165" s="11">
        <v>0.04</v>
      </c>
      <c r="L165" s="15">
        <f t="shared" si="2"/>
        <v>0.245</v>
      </c>
      <c r="M165" s="14">
        <f>IF(Tabla15[[#This Row],[COMBUSTIBLE]]="PETRÓLEO",L165*$Q$2,L165*$Q$4)</f>
        <v>294.245</v>
      </c>
      <c r="N165" s="12" t="str">
        <f>IF(OR(WEEKDAY(Tabla15[[#This Row],[Fecha]],2)=6,WEEKDAY(Tabla15[[#This Row],[Fecha]],2)=7),"Fin de semana","Semana")</f>
        <v>Semana</v>
      </c>
    </row>
    <row r="166" spans="1:14" ht="12.75" customHeight="1" x14ac:dyDescent="0.25">
      <c r="A166" s="11" t="str">
        <f>_xlfn.XLOOKUP(Tabla15[[#This Row],[GPS]],Hoja3!A:A,Hoja3!B:B)</f>
        <v>TRACTOR</v>
      </c>
      <c r="B166" s="11" t="str">
        <f>_xlfn.XLOOKUP(GPS!D166,Hoja3!A:A,Hoja3!D:D)</f>
        <v>PETRÓLEO</v>
      </c>
      <c r="C166" s="12" t="str">
        <f>_xlfn.XLOOKUP(Tabla15[[#This Row],[GPS]],Hoja3!A:A,Hoja3!C:C)</f>
        <v>T4</v>
      </c>
      <c r="D166" s="12" t="s">
        <v>23</v>
      </c>
      <c r="E166" s="13">
        <v>46121</v>
      </c>
      <c r="F166" s="11">
        <v>1.17E-2</v>
      </c>
      <c r="G166" s="11">
        <v>0.01</v>
      </c>
      <c r="H166" s="11">
        <v>0</v>
      </c>
      <c r="I166" s="11">
        <v>18.8719</v>
      </c>
      <c r="J166" s="11">
        <v>54.300600000000003</v>
      </c>
      <c r="K166" s="11">
        <v>0</v>
      </c>
      <c r="L166" s="15">
        <f t="shared" si="2"/>
        <v>1.6666666666666668E-3</v>
      </c>
      <c r="M166" s="14">
        <f>IF(Tabla15[[#This Row],[COMBUSTIBLE]]="PETRÓLEO",L166*$Q$2,L166*$Q$4)</f>
        <v>2.0016666666666669</v>
      </c>
      <c r="N166" s="12" t="str">
        <f>IF(OR(WEEKDAY(Tabla15[[#This Row],[Fecha]],2)=6,WEEKDAY(Tabla15[[#This Row],[Fecha]],2)=7),"Fin de semana","Semana")</f>
        <v>Semana</v>
      </c>
    </row>
    <row r="167" spans="1:14" ht="12.75" customHeight="1" x14ac:dyDescent="0.25">
      <c r="A167" s="11" t="str">
        <f>_xlfn.XLOOKUP(Tabla15[[#This Row],[GPS]],Hoja3!A:A,Hoja3!B:B)</f>
        <v>CAMIONETA</v>
      </c>
      <c r="B167" s="11" t="str">
        <f>_xlfn.XLOOKUP(GPS!D167,Hoja3!A:A,Hoja3!D:D)</f>
        <v>PETRÓLEO</v>
      </c>
      <c r="C167" s="12" t="str">
        <f>_xlfn.XLOOKUP(Tabla15[[#This Row],[GPS]],Hoja3!A:A,Hoja3!C:C)</f>
        <v>SERGIO ROJAS</v>
      </c>
      <c r="D167" s="12" t="s">
        <v>128</v>
      </c>
      <c r="E167" s="13">
        <v>46121</v>
      </c>
      <c r="F167" s="11">
        <v>0</v>
      </c>
      <c r="G167" s="11">
        <v>54.04</v>
      </c>
      <c r="H167" s="11">
        <v>1</v>
      </c>
      <c r="I167" s="11">
        <v>26.2499</v>
      </c>
      <c r="J167" s="11">
        <v>113.7128</v>
      </c>
      <c r="K167" s="11">
        <v>0</v>
      </c>
      <c r="L167" s="15">
        <f t="shared" si="2"/>
        <v>6.0044444444444443</v>
      </c>
      <c r="M167" s="14">
        <f>IF(Tabla15[[#This Row],[COMBUSTIBLE]]="PETRÓLEO",L167*$Q$2,L167*$Q$4)</f>
        <v>7211.3377777777778</v>
      </c>
      <c r="N167" s="12" t="str">
        <f>IF(OR(WEEKDAY(Tabla15[[#This Row],[Fecha]],2)=6,WEEKDAY(Tabla15[[#This Row],[Fecha]],2)=7),"Fin de semana","Semana")</f>
        <v>Semana</v>
      </c>
    </row>
    <row r="168" spans="1:14" ht="12.75" customHeight="1" x14ac:dyDescent="0.25">
      <c r="A168" s="11" t="str">
        <f>_xlfn.XLOOKUP(Tabla15[[#This Row],[GPS]],Hoja3!A:A,Hoja3!B:B)</f>
        <v>CAMIONETA</v>
      </c>
      <c r="B168" s="11" t="str">
        <f>_xlfn.XLOOKUP(GPS!D168,Hoja3!A:A,Hoja3!D:D)</f>
        <v>BENCINA</v>
      </c>
      <c r="C168" s="12" t="str">
        <f>_xlfn.XLOOKUP(Tabla15[[#This Row],[GPS]],Hoja3!A:A,Hoja3!C:C)</f>
        <v>VG PIÑALEO</v>
      </c>
      <c r="D168" s="12" t="s">
        <v>114</v>
      </c>
      <c r="E168" s="13">
        <v>46121</v>
      </c>
      <c r="F168" s="11">
        <v>0</v>
      </c>
      <c r="G168" s="11">
        <v>6.7</v>
      </c>
      <c r="H168" s="11">
        <v>1</v>
      </c>
      <c r="I168" s="11">
        <v>24.831099999999999</v>
      </c>
      <c r="J168" s="11">
        <v>80.302700000000002</v>
      </c>
      <c r="K168" s="11">
        <v>0</v>
      </c>
      <c r="L168" s="15">
        <f t="shared" si="2"/>
        <v>0.60909090909090913</v>
      </c>
      <c r="M168" s="14">
        <f>IF(Tabla15[[#This Row],[COMBUSTIBLE]]="PETRÓLEO",L168*$Q$2,L168*$Q$4)</f>
        <v>944.09090909090912</v>
      </c>
      <c r="N168" s="12" t="str">
        <f>IF(OR(WEEKDAY(Tabla15[[#This Row],[Fecha]],2)=6,WEEKDAY(Tabla15[[#This Row],[Fecha]],2)=7),"Fin de semana","Semana")</f>
        <v>Semana</v>
      </c>
    </row>
    <row r="169" spans="1:14" ht="12.75" customHeight="1" x14ac:dyDescent="0.25">
      <c r="A169" s="11" t="str">
        <f>_xlfn.XLOOKUP(Tabla15[[#This Row],[GPS]],Hoja3!A:A,Hoja3!B:B)</f>
        <v>CAMIONETA</v>
      </c>
      <c r="B169" s="11" t="str">
        <f>_xlfn.XLOOKUP(GPS!D169,Hoja3!A:A,Hoja3!D:D)</f>
        <v>BENCINA</v>
      </c>
      <c r="C169" s="12" t="str">
        <f>_xlfn.XLOOKUP(Tabla15[[#This Row],[GPS]],Hoja3!A:A,Hoja3!C:C)</f>
        <v>VG CERRILLOS</v>
      </c>
      <c r="D169" s="12" t="s">
        <v>137</v>
      </c>
      <c r="E169" s="13">
        <v>46121</v>
      </c>
      <c r="F169" s="11">
        <v>0</v>
      </c>
      <c r="G169" s="11">
        <v>69.47</v>
      </c>
      <c r="H169" s="11">
        <v>1</v>
      </c>
      <c r="I169" s="11">
        <v>22.831</v>
      </c>
      <c r="J169" s="11">
        <v>84.000100000000003</v>
      </c>
      <c r="K169" s="11">
        <v>0</v>
      </c>
      <c r="L169" s="15">
        <f t="shared" si="2"/>
        <v>6.3154545454545454</v>
      </c>
      <c r="M169" s="14">
        <f>IF(Tabla15[[#This Row],[COMBUSTIBLE]]="PETRÓLEO",L169*$Q$2,L169*$Q$4)</f>
        <v>9788.954545454546</v>
      </c>
      <c r="N169" s="12" t="str">
        <f>IF(OR(WEEKDAY(Tabla15[[#This Row],[Fecha]],2)=6,WEEKDAY(Tabla15[[#This Row],[Fecha]],2)=7),"Fin de semana","Semana")</f>
        <v>Semana</v>
      </c>
    </row>
    <row r="170" spans="1:14" ht="12.75" customHeight="1" x14ac:dyDescent="0.25">
      <c r="A170" s="11" t="str">
        <f>_xlfn.XLOOKUP(Tabla15[[#This Row],[GPS]],Hoja3!A:A,Hoja3!B:B)</f>
        <v>CAMIONETA</v>
      </c>
      <c r="B170" s="11" t="str">
        <f>_xlfn.XLOOKUP(GPS!D170,Hoja3!A:A,Hoja3!D:D)</f>
        <v>BENCINA</v>
      </c>
      <c r="C170" s="12" t="str">
        <f>_xlfn.XLOOKUP(Tabla15[[#This Row],[GPS]],Hoja3!A:A,Hoja3!C:C)</f>
        <v>VG GERARDO</v>
      </c>
      <c r="D170" s="12" t="s">
        <v>118</v>
      </c>
      <c r="E170" s="13">
        <v>46121</v>
      </c>
      <c r="F170" s="11">
        <v>0</v>
      </c>
      <c r="G170" s="11">
        <v>67.28</v>
      </c>
      <c r="H170" s="11">
        <v>1</v>
      </c>
      <c r="I170" s="11">
        <v>29.799499999999998</v>
      </c>
      <c r="J170" s="11">
        <v>98.915300000000002</v>
      </c>
      <c r="K170" s="11">
        <v>0</v>
      </c>
      <c r="L170" s="15">
        <f t="shared" si="2"/>
        <v>6.1163636363636362</v>
      </c>
      <c r="M170" s="14">
        <f>IF(Tabla15[[#This Row],[COMBUSTIBLE]]="PETRÓLEO",L170*$Q$2,L170*$Q$4)</f>
        <v>9480.363636363636</v>
      </c>
      <c r="N170" s="12" t="str">
        <f>IF(OR(WEEKDAY(Tabla15[[#This Row],[Fecha]],2)=6,WEEKDAY(Tabla15[[#This Row],[Fecha]],2)=7),"Fin de semana","Semana")</f>
        <v>Semana</v>
      </c>
    </row>
    <row r="171" spans="1:14" ht="12.75" customHeight="1" x14ac:dyDescent="0.25">
      <c r="A171" s="11" t="str">
        <f>_xlfn.XLOOKUP(Tabla15[[#This Row],[GPS]],Hoja3!A:A,Hoja3!B:B)</f>
        <v>TRACTOR</v>
      </c>
      <c r="B171" s="11" t="str">
        <f>_xlfn.XLOOKUP(GPS!D171,Hoja3!A:A,Hoja3!D:D)</f>
        <v>PETRÓLEO</v>
      </c>
      <c r="C171" s="12" t="str">
        <f>_xlfn.XLOOKUP(Tabla15[[#This Row],[GPS]],Hoja3!A:A,Hoja3!C:C)</f>
        <v>TA01</v>
      </c>
      <c r="D171" s="12" t="s">
        <v>29</v>
      </c>
      <c r="E171" s="13">
        <v>46122</v>
      </c>
      <c r="F171" s="11">
        <v>8.3432999999999993</v>
      </c>
      <c r="G171" s="11">
        <v>5.81</v>
      </c>
      <c r="H171" s="11">
        <v>1</v>
      </c>
      <c r="I171" s="11">
        <v>6.1867999999999999</v>
      </c>
      <c r="J171" s="11">
        <v>31.095099999999999</v>
      </c>
      <c r="K171" s="11">
        <v>1.04</v>
      </c>
      <c r="L171" s="15">
        <f t="shared" si="2"/>
        <v>0.96833333333333327</v>
      </c>
      <c r="M171" s="14">
        <f>IF(Tabla15[[#This Row],[COMBUSTIBLE]]="PETRÓLEO",L171*$Q$2,L171*$Q$4)</f>
        <v>1162.9683333333332</v>
      </c>
      <c r="N171" s="12" t="str">
        <f>IF(OR(WEEKDAY(Tabla15[[#This Row],[Fecha]],2)=6,WEEKDAY(Tabla15[[#This Row],[Fecha]],2)=7),"Fin de semana","Semana")</f>
        <v>Semana</v>
      </c>
    </row>
    <row r="172" spans="1:14" ht="12.75" customHeight="1" x14ac:dyDescent="0.25">
      <c r="A172" s="11" t="str">
        <f>_xlfn.XLOOKUP(Tabla15[[#This Row],[GPS]],Hoja3!A:A,Hoja3!B:B)</f>
        <v>TRACTOR</v>
      </c>
      <c r="B172" s="11" t="str">
        <f>_xlfn.XLOOKUP(GPS!D172,Hoja3!A:A,Hoja3!D:D)</f>
        <v>PETRÓLEO</v>
      </c>
      <c r="C172" s="12" t="str">
        <f>_xlfn.XLOOKUP(Tabla15[[#This Row],[GPS]],Hoja3!A:A,Hoja3!C:C)</f>
        <v>T7</v>
      </c>
      <c r="D172" s="12" t="s">
        <v>26</v>
      </c>
      <c r="E172" s="13">
        <v>46122</v>
      </c>
      <c r="F172" s="11">
        <v>8.2003000000000004</v>
      </c>
      <c r="G172" s="11">
        <v>18.829999999999998</v>
      </c>
      <c r="H172" s="11">
        <v>1</v>
      </c>
      <c r="I172" s="11">
        <v>5.4505999999999997</v>
      </c>
      <c r="J172" s="11">
        <v>34.910200000000003</v>
      </c>
      <c r="K172" s="11">
        <v>1.03</v>
      </c>
      <c r="L172" s="15">
        <f t="shared" si="2"/>
        <v>3.1383333333333332</v>
      </c>
      <c r="M172" s="14">
        <f>IF(Tabla15[[#This Row],[COMBUSTIBLE]]="PETRÓLEO",L172*$Q$2,L172*$Q$4)</f>
        <v>3769.1383333333333</v>
      </c>
      <c r="N172" s="12" t="str">
        <f>IF(OR(WEEKDAY(Tabla15[[#This Row],[Fecha]],2)=6,WEEKDAY(Tabla15[[#This Row],[Fecha]],2)=7),"Fin de semana","Semana")</f>
        <v>Semana</v>
      </c>
    </row>
    <row r="173" spans="1:14" ht="12.75" customHeight="1" x14ac:dyDescent="0.25">
      <c r="A173" s="11" t="str">
        <f>_xlfn.XLOOKUP(Tabla15[[#This Row],[GPS]],Hoja3!A:A,Hoja3!B:B)</f>
        <v>TRACTOR</v>
      </c>
      <c r="B173" s="11" t="str">
        <f>_xlfn.XLOOKUP(GPS!D173,Hoja3!A:A,Hoja3!D:D)</f>
        <v>PETRÓLEO</v>
      </c>
      <c r="C173" s="12" t="str">
        <f>_xlfn.XLOOKUP(Tabla15[[#This Row],[GPS]],Hoja3!A:A,Hoja3!C:C)</f>
        <v>T13</v>
      </c>
      <c r="D173" s="12" t="s">
        <v>19</v>
      </c>
      <c r="E173" s="13">
        <v>46122</v>
      </c>
      <c r="F173" s="11">
        <v>6.4657999999999998</v>
      </c>
      <c r="G173" s="11">
        <v>12.57</v>
      </c>
      <c r="H173" s="11">
        <v>1</v>
      </c>
      <c r="I173" s="11">
        <v>5.9151999999999996</v>
      </c>
      <c r="J173" s="11">
        <v>24.0001</v>
      </c>
      <c r="K173" s="11">
        <v>0.81</v>
      </c>
      <c r="L173" s="15">
        <f t="shared" si="2"/>
        <v>2.0950000000000002</v>
      </c>
      <c r="M173" s="14">
        <f>IF(Tabla15[[#This Row],[COMBUSTIBLE]]="PETRÓLEO",L173*$Q$2,L173*$Q$4)</f>
        <v>2516.0950000000003</v>
      </c>
      <c r="N173" s="12" t="str">
        <f>IF(OR(WEEKDAY(Tabla15[[#This Row],[Fecha]],2)=6,WEEKDAY(Tabla15[[#This Row],[Fecha]],2)=7),"Fin de semana","Semana")</f>
        <v>Semana</v>
      </c>
    </row>
    <row r="174" spans="1:14" ht="12.75" customHeight="1" x14ac:dyDescent="0.25">
      <c r="A174" s="11" t="str">
        <f>_xlfn.XLOOKUP(Tabla15[[#This Row],[GPS]],Hoja3!A:A,Hoja3!B:B)</f>
        <v>TRACTOR</v>
      </c>
      <c r="B174" s="11" t="str">
        <f>_xlfn.XLOOKUP(GPS!D174,Hoja3!A:A,Hoja3!D:D)</f>
        <v>PETRÓLEO</v>
      </c>
      <c r="C174" s="12" t="str">
        <f>_xlfn.XLOOKUP(Tabla15[[#This Row],[GPS]],Hoja3!A:A,Hoja3!C:C)</f>
        <v>TA02</v>
      </c>
      <c r="D174" s="12" t="s">
        <v>30</v>
      </c>
      <c r="E174" s="13">
        <v>46122</v>
      </c>
      <c r="F174" s="11">
        <v>6.0650000000000004</v>
      </c>
      <c r="G174" s="11">
        <v>19.2</v>
      </c>
      <c r="H174" s="11">
        <v>1</v>
      </c>
      <c r="I174" s="11">
        <v>19.957100000000001</v>
      </c>
      <c r="J174" s="11">
        <v>47.318600000000004</v>
      </c>
      <c r="K174" s="11">
        <v>0.76</v>
      </c>
      <c r="L174" s="15">
        <f t="shared" si="2"/>
        <v>3.1999999999999997</v>
      </c>
      <c r="M174" s="14">
        <f>IF(Tabla15[[#This Row],[COMBUSTIBLE]]="PETRÓLEO",L174*$Q$2,L174*$Q$4)</f>
        <v>3843.2</v>
      </c>
      <c r="N174" s="12" t="str">
        <f>IF(OR(WEEKDAY(Tabla15[[#This Row],[Fecha]],2)=6,WEEKDAY(Tabla15[[#This Row],[Fecha]],2)=7),"Fin de semana","Semana")</f>
        <v>Semana</v>
      </c>
    </row>
    <row r="175" spans="1:14" ht="12.75" customHeight="1" x14ac:dyDescent="0.25">
      <c r="A175" s="11" t="str">
        <f>_xlfn.XLOOKUP(Tabla15[[#This Row],[GPS]],Hoja3!A:A,Hoja3!B:B)</f>
        <v>CAMIONETA</v>
      </c>
      <c r="B175" s="11" t="str">
        <f>_xlfn.XLOOKUP(GPS!D175,Hoja3!A:A,Hoja3!D:D)</f>
        <v>PETRÓLEO</v>
      </c>
      <c r="C175" s="12" t="str">
        <f>_xlfn.XLOOKUP(Tabla15[[#This Row],[GPS]],Hoja3!A:A,Hoja3!C:C)</f>
        <v>CAMPO CERRILLOS</v>
      </c>
      <c r="D175" s="12" t="s">
        <v>121</v>
      </c>
      <c r="E175" s="13">
        <v>46122</v>
      </c>
      <c r="F175" s="11">
        <v>5.5138999999999996</v>
      </c>
      <c r="G175" s="11">
        <v>75.97</v>
      </c>
      <c r="H175" s="11">
        <v>1</v>
      </c>
      <c r="I175" s="11">
        <v>20.2347</v>
      </c>
      <c r="J175" s="11">
        <v>92</v>
      </c>
      <c r="K175" s="11">
        <v>0.69</v>
      </c>
      <c r="L175" s="15">
        <f t="shared" si="2"/>
        <v>8.4411111111111108</v>
      </c>
      <c r="M175" s="14">
        <f>IF(Tabla15[[#This Row],[COMBUSTIBLE]]="PETRÓLEO",L175*$Q$2,L175*$Q$4)</f>
        <v>10137.774444444443</v>
      </c>
      <c r="N175" s="12" t="str">
        <f>IF(OR(WEEKDAY(Tabla15[[#This Row],[Fecha]],2)=6,WEEKDAY(Tabla15[[#This Row],[Fecha]],2)=7),"Fin de semana","Semana")</f>
        <v>Semana</v>
      </c>
    </row>
    <row r="176" spans="1:14" ht="12.75" customHeight="1" x14ac:dyDescent="0.25">
      <c r="A176" s="11" t="str">
        <f>_xlfn.XLOOKUP(Tabla15[[#This Row],[GPS]],Hoja3!A:A,Hoja3!B:B)</f>
        <v>TRACTOR</v>
      </c>
      <c r="B176" s="11" t="str">
        <f>_xlfn.XLOOKUP(GPS!D176,Hoja3!A:A,Hoja3!D:D)</f>
        <v>PETRÓLEO</v>
      </c>
      <c r="C176" s="12" t="str">
        <f>_xlfn.XLOOKUP(Tabla15[[#This Row],[GPS]],Hoja3!A:A,Hoja3!C:C)</f>
        <v>T6</v>
      </c>
      <c r="D176" s="12" t="s">
        <v>25</v>
      </c>
      <c r="E176" s="13">
        <v>46122</v>
      </c>
      <c r="F176" s="11">
        <v>5.29</v>
      </c>
      <c r="G176" s="11">
        <v>9.5299999999999994</v>
      </c>
      <c r="H176" s="11">
        <v>1</v>
      </c>
      <c r="I176" s="11">
        <v>4.6425999999999998</v>
      </c>
      <c r="J176" s="11">
        <v>40.725499999999997</v>
      </c>
      <c r="K176" s="11">
        <v>0.66</v>
      </c>
      <c r="L176" s="15">
        <f t="shared" si="2"/>
        <v>1.5883333333333332</v>
      </c>
      <c r="M176" s="14">
        <f>IF(Tabla15[[#This Row],[COMBUSTIBLE]]="PETRÓLEO",L176*$Q$2,L176*$Q$4)</f>
        <v>1907.5883333333331</v>
      </c>
      <c r="N176" s="12" t="str">
        <f>IF(OR(WEEKDAY(Tabla15[[#This Row],[Fecha]],2)=6,WEEKDAY(Tabla15[[#This Row],[Fecha]],2)=7),"Fin de semana","Semana")</f>
        <v>Semana</v>
      </c>
    </row>
    <row r="177" spans="1:14" ht="12.75" customHeight="1" x14ac:dyDescent="0.25">
      <c r="A177" s="11" t="str">
        <f>_xlfn.XLOOKUP(Tabla15[[#This Row],[GPS]],Hoja3!A:A,Hoja3!B:B)</f>
        <v>TRACTOR</v>
      </c>
      <c r="B177" s="11" t="str">
        <f>_xlfn.XLOOKUP(GPS!D177,Hoja3!A:A,Hoja3!D:D)</f>
        <v>PETRÓLEO</v>
      </c>
      <c r="C177" s="12" t="str">
        <f>_xlfn.XLOOKUP(Tabla15[[#This Row],[GPS]],Hoja3!A:A,Hoja3!C:C)</f>
        <v>T12</v>
      </c>
      <c r="D177" s="12" t="s">
        <v>17</v>
      </c>
      <c r="E177" s="13">
        <v>46122</v>
      </c>
      <c r="F177" s="11">
        <v>4.5232999999999999</v>
      </c>
      <c r="G177" s="11">
        <v>34.409999999999997</v>
      </c>
      <c r="H177" s="11">
        <v>1</v>
      </c>
      <c r="I177" s="11">
        <v>9.2946000000000009</v>
      </c>
      <c r="J177" s="11">
        <v>46.114800000000002</v>
      </c>
      <c r="K177" s="11">
        <v>0.56999999999999995</v>
      </c>
      <c r="L177" s="15">
        <f t="shared" si="2"/>
        <v>5.7349999999999994</v>
      </c>
      <c r="M177" s="14">
        <f>IF(Tabla15[[#This Row],[COMBUSTIBLE]]="PETRÓLEO",L177*$Q$2,L177*$Q$4)</f>
        <v>6887.7349999999997</v>
      </c>
      <c r="N177" s="12" t="str">
        <f>IF(OR(WEEKDAY(Tabla15[[#This Row],[Fecha]],2)=6,WEEKDAY(Tabla15[[#This Row],[Fecha]],2)=7),"Fin de semana","Semana")</f>
        <v>Semana</v>
      </c>
    </row>
    <row r="178" spans="1:14" ht="12.75" customHeight="1" x14ac:dyDescent="0.25">
      <c r="A178" s="11" t="str">
        <f>_xlfn.XLOOKUP(Tabla15[[#This Row],[GPS]],Hoja3!A:A,Hoja3!B:B)</f>
        <v>CAMIONETA</v>
      </c>
      <c r="B178" s="11" t="str">
        <f>_xlfn.XLOOKUP(GPS!D178,Hoja3!A:A,Hoja3!D:D)</f>
        <v>PETRÓLEO</v>
      </c>
      <c r="C178" s="12" t="str">
        <f>_xlfn.XLOOKUP(Tabla15[[#This Row],[GPS]],Hoja3!A:A,Hoja3!C:C)</f>
        <v>RODRIGO SALINAS</v>
      </c>
      <c r="D178" s="12" t="s">
        <v>109</v>
      </c>
      <c r="E178" s="13">
        <v>46122</v>
      </c>
      <c r="F178" s="11">
        <v>4.1327999999999996</v>
      </c>
      <c r="G178" s="11">
        <v>150.02000000000001</v>
      </c>
      <c r="H178" s="11">
        <v>1</v>
      </c>
      <c r="I178" s="11">
        <v>41.6599</v>
      </c>
      <c r="J178" s="11">
        <v>206.60910000000001</v>
      </c>
      <c r="K178" s="11">
        <v>0.52</v>
      </c>
      <c r="L178" s="15">
        <f t="shared" si="2"/>
        <v>16.66888888888889</v>
      </c>
      <c r="M178" s="14">
        <f>IF(Tabla15[[#This Row],[COMBUSTIBLE]]="PETRÓLEO",L178*$Q$2,L178*$Q$4)</f>
        <v>20019.335555555557</v>
      </c>
      <c r="N178" s="12" t="str">
        <f>IF(OR(WEEKDAY(Tabla15[[#This Row],[Fecha]],2)=6,WEEKDAY(Tabla15[[#This Row],[Fecha]],2)=7),"Fin de semana","Semana")</f>
        <v>Semana</v>
      </c>
    </row>
    <row r="179" spans="1:14" ht="12.75" customHeight="1" x14ac:dyDescent="0.25">
      <c r="A179" s="11" t="str">
        <f>_xlfn.XLOOKUP(Tabla15[[#This Row],[GPS]],Hoja3!A:A,Hoja3!B:B)</f>
        <v>CAMIONETA</v>
      </c>
      <c r="B179" s="11" t="str">
        <f>_xlfn.XLOOKUP(GPS!D179,Hoja3!A:A,Hoja3!D:D)</f>
        <v>PETRÓLEO</v>
      </c>
      <c r="C179" s="12" t="str">
        <f>_xlfn.XLOOKUP(Tabla15[[#This Row],[GPS]],Hoja3!A:A,Hoja3!C:C)</f>
        <v>CAMPO PAINE</v>
      </c>
      <c r="D179" s="12" t="s">
        <v>131</v>
      </c>
      <c r="E179" s="13">
        <v>46122</v>
      </c>
      <c r="F179" s="11">
        <v>4.0503</v>
      </c>
      <c r="G179" s="11">
        <v>32.61</v>
      </c>
      <c r="H179" s="11">
        <v>1</v>
      </c>
      <c r="I179" s="11">
        <v>17.844799999999999</v>
      </c>
      <c r="J179" s="11">
        <v>137.9555</v>
      </c>
      <c r="K179" s="11">
        <v>0.51</v>
      </c>
      <c r="L179" s="15">
        <f t="shared" si="2"/>
        <v>3.6233333333333331</v>
      </c>
      <c r="M179" s="14">
        <f>IF(Tabla15[[#This Row],[COMBUSTIBLE]]="PETRÓLEO",L179*$Q$2,L179*$Q$4)</f>
        <v>4351.623333333333</v>
      </c>
      <c r="N179" s="12" t="str">
        <f>IF(OR(WEEKDAY(Tabla15[[#This Row],[Fecha]],2)=6,WEEKDAY(Tabla15[[#This Row],[Fecha]],2)=7),"Fin de semana","Semana")</f>
        <v>Semana</v>
      </c>
    </row>
    <row r="180" spans="1:14" ht="12.75" customHeight="1" x14ac:dyDescent="0.25">
      <c r="A180" s="11" t="str">
        <f>_xlfn.XLOOKUP(Tabla15[[#This Row],[GPS]],Hoja3!A:A,Hoja3!B:B)</f>
        <v>TRACTOR</v>
      </c>
      <c r="B180" s="11" t="str">
        <f>_xlfn.XLOOKUP(GPS!D180,Hoja3!A:A,Hoja3!D:D)</f>
        <v>PETRÓLEO</v>
      </c>
      <c r="C180" s="12" t="str">
        <f>_xlfn.XLOOKUP(Tabla15[[#This Row],[GPS]],Hoja3!A:A,Hoja3!C:C)</f>
        <v>T14</v>
      </c>
      <c r="D180" s="12" t="s">
        <v>21</v>
      </c>
      <c r="E180" s="13">
        <v>46122</v>
      </c>
      <c r="F180" s="11">
        <v>3.5882999999999998</v>
      </c>
      <c r="G180" s="11">
        <v>1.92</v>
      </c>
      <c r="H180" s="11">
        <v>1</v>
      </c>
      <c r="I180" s="11">
        <v>5.2004000000000001</v>
      </c>
      <c r="J180" s="11">
        <v>22.409199999999998</v>
      </c>
      <c r="K180" s="11">
        <v>0.45</v>
      </c>
      <c r="L180" s="15">
        <f t="shared" si="2"/>
        <v>0.32</v>
      </c>
      <c r="M180" s="14">
        <f>IF(Tabla15[[#This Row],[COMBUSTIBLE]]="PETRÓLEO",L180*$Q$2,L180*$Q$4)</f>
        <v>384.32</v>
      </c>
      <c r="N180" s="12" t="str">
        <f>IF(OR(WEEKDAY(Tabla15[[#This Row],[Fecha]],2)=6,WEEKDAY(Tabla15[[#This Row],[Fecha]],2)=7),"Fin de semana","Semana")</f>
        <v>Semana</v>
      </c>
    </row>
    <row r="181" spans="1:14" ht="12.75" customHeight="1" x14ac:dyDescent="0.25">
      <c r="A181" s="11" t="str">
        <f>_xlfn.XLOOKUP(Tabla15[[#This Row],[GPS]],Hoja3!A:A,Hoja3!B:B)</f>
        <v>TRACTOR</v>
      </c>
      <c r="B181" s="11" t="str">
        <f>_xlfn.XLOOKUP(GPS!D181,Hoja3!A:A,Hoja3!D:D)</f>
        <v>PETRÓLEO</v>
      </c>
      <c r="C181" s="12" t="str">
        <f>_xlfn.XLOOKUP(Tabla15[[#This Row],[GPS]],Hoja3!A:A,Hoja3!C:C)</f>
        <v>T7</v>
      </c>
      <c r="D181" s="12" t="s">
        <v>26</v>
      </c>
      <c r="E181" s="13">
        <v>46123</v>
      </c>
      <c r="F181" s="11">
        <v>2.8496999999999999</v>
      </c>
      <c r="G181" s="11">
        <v>4.67</v>
      </c>
      <c r="H181" s="11">
        <v>1</v>
      </c>
      <c r="I181" s="11">
        <v>4.2988999999999997</v>
      </c>
      <c r="J181" s="11">
        <v>22.872199999999999</v>
      </c>
      <c r="K181" s="11">
        <v>0.36</v>
      </c>
      <c r="L181" s="15">
        <f t="shared" si="2"/>
        <v>0.77833333333333332</v>
      </c>
      <c r="M181" s="14">
        <f>IF(Tabla15[[#This Row],[COMBUSTIBLE]]="PETRÓLEO",L181*$Q$2,L181*$Q$4)</f>
        <v>934.77833333333331</v>
      </c>
      <c r="N181" s="12" t="str">
        <f>IF(OR(WEEKDAY(Tabla15[[#This Row],[Fecha]],2)=6,WEEKDAY(Tabla15[[#This Row],[Fecha]],2)=7),"Fin de semana","Semana")</f>
        <v>Fin de semana</v>
      </c>
    </row>
    <row r="182" spans="1:14" ht="12.75" customHeight="1" x14ac:dyDescent="0.25">
      <c r="A182" s="11" t="str">
        <f>_xlfn.XLOOKUP(Tabla15[[#This Row],[GPS]],Hoja3!A:A,Hoja3!B:B)</f>
        <v>TRACTOR</v>
      </c>
      <c r="B182" s="11" t="str">
        <f>_xlfn.XLOOKUP(GPS!D182,Hoja3!A:A,Hoja3!D:D)</f>
        <v>PETRÓLEO</v>
      </c>
      <c r="C182" s="12" t="str">
        <f>_xlfn.XLOOKUP(Tabla15[[#This Row],[GPS]],Hoja3!A:A,Hoja3!C:C)</f>
        <v>T10</v>
      </c>
      <c r="D182" s="12" t="s">
        <v>14</v>
      </c>
      <c r="E182" s="13">
        <v>46122</v>
      </c>
      <c r="F182" s="11">
        <v>2.8264</v>
      </c>
      <c r="G182" s="11">
        <v>11.7</v>
      </c>
      <c r="H182" s="11">
        <v>1</v>
      </c>
      <c r="I182" s="11">
        <v>6.6830999999999996</v>
      </c>
      <c r="J182" s="11">
        <v>42.984900000000003</v>
      </c>
      <c r="K182" s="11">
        <v>0.35</v>
      </c>
      <c r="L182" s="15">
        <f t="shared" si="2"/>
        <v>1.95</v>
      </c>
      <c r="M182" s="14">
        <f>IF(Tabla15[[#This Row],[COMBUSTIBLE]]="PETRÓLEO",L182*$Q$2,L182*$Q$4)</f>
        <v>2341.9499999999998</v>
      </c>
      <c r="N182" s="12" t="str">
        <f>IF(OR(WEEKDAY(Tabla15[[#This Row],[Fecha]],2)=6,WEEKDAY(Tabla15[[#This Row],[Fecha]],2)=7),"Fin de semana","Semana")</f>
        <v>Semana</v>
      </c>
    </row>
    <row r="183" spans="1:14" ht="12.75" customHeight="1" x14ac:dyDescent="0.25">
      <c r="A183" s="11" t="str">
        <f>_xlfn.XLOOKUP(Tabla15[[#This Row],[GPS]],Hoja3!A:A,Hoja3!B:B)</f>
        <v>TRACTOR</v>
      </c>
      <c r="B183" s="11" t="str">
        <f>_xlfn.XLOOKUP(GPS!D183,Hoja3!A:A,Hoja3!D:D)</f>
        <v>PETRÓLEO</v>
      </c>
      <c r="C183" s="12" t="str">
        <f>_xlfn.XLOOKUP(Tabla15[[#This Row],[GPS]],Hoja3!A:A,Hoja3!C:C)</f>
        <v>T8</v>
      </c>
      <c r="D183" s="12" t="s">
        <v>27</v>
      </c>
      <c r="E183" s="13">
        <v>46122</v>
      </c>
      <c r="F183" s="11">
        <v>2.7919</v>
      </c>
      <c r="G183" s="11">
        <v>19.05</v>
      </c>
      <c r="H183" s="11">
        <v>1</v>
      </c>
      <c r="I183" s="11">
        <v>7.8954000000000004</v>
      </c>
      <c r="J183" s="11">
        <v>32.113700000000001</v>
      </c>
      <c r="K183" s="11">
        <v>0.35</v>
      </c>
      <c r="L183" s="15">
        <f t="shared" si="2"/>
        <v>3.1750000000000003</v>
      </c>
      <c r="M183" s="14">
        <f>IF(Tabla15[[#This Row],[COMBUSTIBLE]]="PETRÓLEO",L183*$Q$2,L183*$Q$4)</f>
        <v>3813.1750000000002</v>
      </c>
      <c r="N183" s="12" t="str">
        <f>IF(OR(WEEKDAY(Tabla15[[#This Row],[Fecha]],2)=6,WEEKDAY(Tabla15[[#This Row],[Fecha]],2)=7),"Fin de semana","Semana")</f>
        <v>Semana</v>
      </c>
    </row>
    <row r="184" spans="1:14" ht="12.75" customHeight="1" x14ac:dyDescent="0.25">
      <c r="A184" s="11" t="str">
        <f>_xlfn.XLOOKUP(Tabla15[[#This Row],[GPS]],Hoja3!A:A,Hoja3!B:B)</f>
        <v>TRACTOR</v>
      </c>
      <c r="B184" s="11" t="str">
        <f>_xlfn.XLOOKUP(GPS!D184,Hoja3!A:A,Hoja3!D:D)</f>
        <v>PETRÓLEO</v>
      </c>
      <c r="C184" s="12" t="str">
        <f>_xlfn.XLOOKUP(Tabla15[[#This Row],[GPS]],Hoja3!A:A,Hoja3!C:C)</f>
        <v>T5</v>
      </c>
      <c r="D184" s="12" t="s">
        <v>24</v>
      </c>
      <c r="E184" s="13">
        <v>46123</v>
      </c>
      <c r="F184" s="11">
        <v>2.0672000000000001</v>
      </c>
      <c r="G184" s="11">
        <v>9.8800000000000008</v>
      </c>
      <c r="H184" s="11">
        <v>1</v>
      </c>
      <c r="I184" s="11">
        <v>10.454800000000001</v>
      </c>
      <c r="J184" s="11">
        <v>57.7639</v>
      </c>
      <c r="K184" s="11">
        <v>0.26</v>
      </c>
      <c r="L184" s="15">
        <f t="shared" si="2"/>
        <v>1.6466666666666667</v>
      </c>
      <c r="M184" s="14">
        <f>IF(Tabla15[[#This Row],[COMBUSTIBLE]]="PETRÓLEO",L184*$Q$2,L184*$Q$4)</f>
        <v>1977.6466666666668</v>
      </c>
      <c r="N184" s="12" t="str">
        <f>IF(OR(WEEKDAY(Tabla15[[#This Row],[Fecha]],2)=6,WEEKDAY(Tabla15[[#This Row],[Fecha]],2)=7),"Fin de semana","Semana")</f>
        <v>Fin de semana</v>
      </c>
    </row>
    <row r="185" spans="1:14" ht="12.75" customHeight="1" x14ac:dyDescent="0.25">
      <c r="A185" s="11" t="str">
        <f>_xlfn.XLOOKUP(Tabla15[[#This Row],[GPS]],Hoja3!A:A,Hoja3!B:B)</f>
        <v>CAMIONETA</v>
      </c>
      <c r="B185" s="11" t="str">
        <f>_xlfn.XLOOKUP(GPS!D185,Hoja3!A:A,Hoja3!D:D)</f>
        <v>PETRÓLEO</v>
      </c>
      <c r="C185" s="12" t="str">
        <f>_xlfn.XLOOKUP(Tabla15[[#This Row],[GPS]],Hoja3!A:A,Hoja3!C:C)</f>
        <v>CAMPO RULO</v>
      </c>
      <c r="D185" s="12" t="s">
        <v>135</v>
      </c>
      <c r="E185" s="13">
        <v>46122</v>
      </c>
      <c r="F185" s="11">
        <v>1.7488999999999999</v>
      </c>
      <c r="G185" s="11">
        <v>41.13</v>
      </c>
      <c r="H185" s="11">
        <v>1</v>
      </c>
      <c r="I185" s="11">
        <v>30.6113</v>
      </c>
      <c r="J185" s="11">
        <v>94.7483</v>
      </c>
      <c r="K185" s="11">
        <v>0.22</v>
      </c>
      <c r="L185" s="15">
        <f t="shared" si="2"/>
        <v>4.57</v>
      </c>
      <c r="M185" s="14">
        <f>IF(Tabla15[[#This Row],[COMBUSTIBLE]]="PETRÓLEO",L185*$Q$2,L185*$Q$4)</f>
        <v>5488.5700000000006</v>
      </c>
      <c r="N185" s="12" t="str">
        <f>IF(OR(WEEKDAY(Tabla15[[#This Row],[Fecha]],2)=6,WEEKDAY(Tabla15[[#This Row],[Fecha]],2)=7),"Fin de semana","Semana")</f>
        <v>Semana</v>
      </c>
    </row>
    <row r="186" spans="1:14" ht="12.75" customHeight="1" x14ac:dyDescent="0.25">
      <c r="A186" s="11" t="str">
        <f>_xlfn.XLOOKUP(Tabla15[[#This Row],[GPS]],Hoja3!A:A,Hoja3!B:B)</f>
        <v>CAMIONETA</v>
      </c>
      <c r="B186" s="11" t="str">
        <f>_xlfn.XLOOKUP(GPS!D186,Hoja3!A:A,Hoja3!D:D)</f>
        <v>PETRÓLEO</v>
      </c>
      <c r="C186" s="12" t="str">
        <f>_xlfn.XLOOKUP(Tabla15[[#This Row],[GPS]],Hoja3!A:A,Hoja3!C:C)</f>
        <v>GONZALO GUERRERO</v>
      </c>
      <c r="D186" s="12" t="s">
        <v>126</v>
      </c>
      <c r="E186" s="13">
        <v>46122</v>
      </c>
      <c r="F186" s="11">
        <v>1.7178</v>
      </c>
      <c r="G186" s="11">
        <v>40.11</v>
      </c>
      <c r="H186" s="11">
        <v>1</v>
      </c>
      <c r="I186" s="11">
        <v>27.671800000000001</v>
      </c>
      <c r="J186" s="11">
        <v>116.8056</v>
      </c>
      <c r="K186" s="11">
        <v>0.21</v>
      </c>
      <c r="L186" s="15">
        <f t="shared" si="2"/>
        <v>4.456666666666667</v>
      </c>
      <c r="M186" s="14">
        <f>IF(Tabla15[[#This Row],[COMBUSTIBLE]]="PETRÓLEO",L186*$Q$2,L186*$Q$4)</f>
        <v>5352.4566666666669</v>
      </c>
      <c r="N186" s="12" t="str">
        <f>IF(OR(WEEKDAY(Tabla15[[#This Row],[Fecha]],2)=6,WEEKDAY(Tabla15[[#This Row],[Fecha]],2)=7),"Fin de semana","Semana")</f>
        <v>Semana</v>
      </c>
    </row>
    <row r="187" spans="1:14" ht="12.75" customHeight="1" x14ac:dyDescent="0.25">
      <c r="A187" s="11" t="str">
        <f>_xlfn.XLOOKUP(Tabla15[[#This Row],[GPS]],Hoja3!A:A,Hoja3!B:B)</f>
        <v>CAMIONETA</v>
      </c>
      <c r="B187" s="11" t="str">
        <f>_xlfn.XLOOKUP(GPS!D187,Hoja3!A:A,Hoja3!D:D)</f>
        <v>PETRÓLEO</v>
      </c>
      <c r="C187" s="12" t="str">
        <f>_xlfn.XLOOKUP(Tabla15[[#This Row],[GPS]],Hoja3!A:A,Hoja3!C:C)</f>
        <v>CAMPO PAINE</v>
      </c>
      <c r="D187" s="12" t="s">
        <v>131</v>
      </c>
      <c r="E187" s="13">
        <v>46123</v>
      </c>
      <c r="F187" s="11">
        <v>0.83</v>
      </c>
      <c r="G187" s="11">
        <v>21.49</v>
      </c>
      <c r="H187" s="11">
        <v>1</v>
      </c>
      <c r="I187" s="11">
        <v>45.637999999999998</v>
      </c>
      <c r="J187" s="11">
        <v>192.97839999999999</v>
      </c>
      <c r="K187" s="11">
        <v>0.1</v>
      </c>
      <c r="L187" s="15">
        <f t="shared" si="2"/>
        <v>2.3877777777777776</v>
      </c>
      <c r="M187" s="14">
        <f>IF(Tabla15[[#This Row],[COMBUSTIBLE]]="PETRÓLEO",L187*$Q$2,L187*$Q$4)</f>
        <v>2867.721111111111</v>
      </c>
      <c r="N187" s="12" t="str">
        <f>IF(OR(WEEKDAY(Tabla15[[#This Row],[Fecha]],2)=6,WEEKDAY(Tabla15[[#This Row],[Fecha]],2)=7),"Fin de semana","Semana")</f>
        <v>Fin de semana</v>
      </c>
    </row>
    <row r="188" spans="1:14" ht="12.75" customHeight="1" x14ac:dyDescent="0.25">
      <c r="A188" s="11" t="str">
        <f>_xlfn.XLOOKUP(Tabla15[[#This Row],[GPS]],Hoja3!A:A,Hoja3!B:B)</f>
        <v>CAMIONETA</v>
      </c>
      <c r="B188" s="11" t="str">
        <f>_xlfn.XLOOKUP(GPS!D188,Hoja3!A:A,Hoja3!D:D)</f>
        <v>PETRÓLEO</v>
      </c>
      <c r="C188" s="12" t="str">
        <f>_xlfn.XLOOKUP(Tabla15[[#This Row],[GPS]],Hoja3!A:A,Hoja3!C:C)</f>
        <v>RODRIGO SALINAS</v>
      </c>
      <c r="D188" s="12" t="s">
        <v>109</v>
      </c>
      <c r="E188" s="13">
        <v>46123</v>
      </c>
      <c r="F188" s="11">
        <v>0.57999999999999996</v>
      </c>
      <c r="G188" s="11">
        <v>9.5399999999999991</v>
      </c>
      <c r="H188" s="11">
        <v>1</v>
      </c>
      <c r="I188" s="11">
        <v>23.148399999999999</v>
      </c>
      <c r="J188" s="11">
        <v>63</v>
      </c>
      <c r="K188" s="11">
        <v>7.0000000000000007E-2</v>
      </c>
      <c r="L188" s="15">
        <f t="shared" si="2"/>
        <v>1.0599999999999998</v>
      </c>
      <c r="M188" s="14">
        <f>IF(Tabla15[[#This Row],[COMBUSTIBLE]]="PETRÓLEO",L188*$Q$2,L188*$Q$4)</f>
        <v>1273.0599999999997</v>
      </c>
      <c r="N188" s="12" t="str">
        <f>IF(OR(WEEKDAY(Tabla15[[#This Row],[Fecha]],2)=6,WEEKDAY(Tabla15[[#This Row],[Fecha]],2)=7),"Fin de semana","Semana")</f>
        <v>Fin de semana</v>
      </c>
    </row>
    <row r="189" spans="1:14" ht="12.75" customHeight="1" x14ac:dyDescent="0.25">
      <c r="A189" s="11" t="str">
        <f>_xlfn.XLOOKUP(Tabla15[[#This Row],[GPS]],Hoja3!A:A,Hoja3!B:B)</f>
        <v>CAMIONETA</v>
      </c>
      <c r="B189" s="11" t="str">
        <f>_xlfn.XLOOKUP(GPS!D189,Hoja3!A:A,Hoja3!D:D)</f>
        <v>PETRÓLEO</v>
      </c>
      <c r="C189" s="12" t="str">
        <f>_xlfn.XLOOKUP(Tabla15[[#This Row],[GPS]],Hoja3!A:A,Hoja3!C:C)</f>
        <v>CAMPO PAINE</v>
      </c>
      <c r="D189" s="12" t="s">
        <v>131</v>
      </c>
      <c r="E189" s="13">
        <v>46124</v>
      </c>
      <c r="F189" s="11">
        <v>0.43309999999999998</v>
      </c>
      <c r="G189" s="11">
        <v>12.94</v>
      </c>
      <c r="H189" s="11">
        <v>1</v>
      </c>
      <c r="I189" s="11">
        <v>32.247399999999999</v>
      </c>
      <c r="J189" s="11">
        <v>76</v>
      </c>
      <c r="K189" s="11">
        <v>0.05</v>
      </c>
      <c r="L189" s="15">
        <f t="shared" si="2"/>
        <v>1.4377777777777778</v>
      </c>
      <c r="M189" s="14">
        <f>IF(Tabla15[[#This Row],[COMBUSTIBLE]]="PETRÓLEO",L189*$Q$2,L189*$Q$4)</f>
        <v>1726.7711111111112</v>
      </c>
      <c r="N189" s="12" t="str">
        <f>IF(OR(WEEKDAY(Tabla15[[#This Row],[Fecha]],2)=6,WEEKDAY(Tabla15[[#This Row],[Fecha]],2)=7),"Fin de semana","Semana")</f>
        <v>Fin de semana</v>
      </c>
    </row>
    <row r="190" spans="1:14" ht="12.75" customHeight="1" x14ac:dyDescent="0.25">
      <c r="A190" s="11" t="str">
        <f>_xlfn.XLOOKUP(Tabla15[[#This Row],[GPS]],Hoja3!A:A,Hoja3!B:B)</f>
        <v>TRACTOR</v>
      </c>
      <c r="B190" s="11" t="str">
        <f>_xlfn.XLOOKUP(GPS!D190,Hoja3!A:A,Hoja3!D:D)</f>
        <v>PETRÓLEO</v>
      </c>
      <c r="C190" s="12" t="str">
        <f>_xlfn.XLOOKUP(Tabla15[[#This Row],[GPS]],Hoja3!A:A,Hoja3!C:C)</f>
        <v>T5</v>
      </c>
      <c r="D190" s="12" t="s">
        <v>24</v>
      </c>
      <c r="E190" s="13">
        <v>46122</v>
      </c>
      <c r="F190" s="11">
        <v>0.29249999999999998</v>
      </c>
      <c r="G190" s="11">
        <v>3.45</v>
      </c>
      <c r="H190" s="11">
        <v>1</v>
      </c>
      <c r="I190" s="11">
        <v>13.9374</v>
      </c>
      <c r="J190" s="11">
        <v>33.650799999999997</v>
      </c>
      <c r="K190" s="11">
        <v>0.04</v>
      </c>
      <c r="L190" s="15">
        <f t="shared" si="2"/>
        <v>0.57500000000000007</v>
      </c>
      <c r="M190" s="14">
        <f>IF(Tabla15[[#This Row],[COMBUSTIBLE]]="PETRÓLEO",L190*$Q$2,L190*$Q$4)</f>
        <v>690.57500000000005</v>
      </c>
      <c r="N190" s="12" t="str">
        <f>IF(OR(WEEKDAY(Tabla15[[#This Row],[Fecha]],2)=6,WEEKDAY(Tabla15[[#This Row],[Fecha]],2)=7),"Fin de semana","Semana")</f>
        <v>Semana</v>
      </c>
    </row>
    <row r="191" spans="1:14" ht="12.75" customHeight="1" x14ac:dyDescent="0.25">
      <c r="A191" s="11" t="str">
        <f>_xlfn.XLOOKUP(Tabla15[[#This Row],[GPS]],Hoja3!A:A,Hoja3!B:B)</f>
        <v>CAMIONETA</v>
      </c>
      <c r="B191" s="11" t="str">
        <f>_xlfn.XLOOKUP(GPS!D191,Hoja3!A:A,Hoja3!D:D)</f>
        <v>PETRÓLEO</v>
      </c>
      <c r="C191" s="12" t="str">
        <f>_xlfn.XLOOKUP(Tabla15[[#This Row],[GPS]],Hoja3!A:A,Hoja3!C:C)</f>
        <v>CAMPO RULO</v>
      </c>
      <c r="D191" s="12" t="s">
        <v>135</v>
      </c>
      <c r="E191" s="13">
        <v>46124</v>
      </c>
      <c r="F191" s="11">
        <v>9.2499999999999999E-2</v>
      </c>
      <c r="G191" s="11">
        <v>7.0000000000000007E-2</v>
      </c>
      <c r="H191" s="11">
        <v>0</v>
      </c>
      <c r="I191" s="11">
        <v>5.7119999999999997</v>
      </c>
      <c r="J191" s="11">
        <v>25.187200000000001</v>
      </c>
      <c r="K191" s="11">
        <v>0.01</v>
      </c>
      <c r="L191" s="15">
        <f t="shared" si="2"/>
        <v>7.7777777777777784E-3</v>
      </c>
      <c r="M191" s="14">
        <f>IF(Tabla15[[#This Row],[COMBUSTIBLE]]="PETRÓLEO",L191*$Q$2,L191*$Q$4)</f>
        <v>9.3411111111111111</v>
      </c>
      <c r="N191" s="12" t="str">
        <f>IF(OR(WEEKDAY(Tabla15[[#This Row],[Fecha]],2)=6,WEEKDAY(Tabla15[[#This Row],[Fecha]],2)=7),"Fin de semana","Semana")</f>
        <v>Fin de semana</v>
      </c>
    </row>
    <row r="192" spans="1:14" ht="12.75" customHeight="1" x14ac:dyDescent="0.25">
      <c r="A192" s="11" t="str">
        <f>_xlfn.XLOOKUP(Tabla15[[#This Row],[GPS]],Hoja3!A:A,Hoja3!B:B)</f>
        <v>CAMIONETA</v>
      </c>
      <c r="B192" s="11" t="str">
        <f>_xlfn.XLOOKUP(GPS!D192,Hoja3!A:A,Hoja3!D:D)</f>
        <v>PETRÓLEO</v>
      </c>
      <c r="C192" s="12" t="str">
        <f>_xlfn.XLOOKUP(Tabla15[[#This Row],[GPS]],Hoja3!A:A,Hoja3!C:C)</f>
        <v>CAMPO RULO</v>
      </c>
      <c r="D192" s="12" t="s">
        <v>135</v>
      </c>
      <c r="E192" s="13">
        <v>46123</v>
      </c>
      <c r="F192" s="11">
        <v>6.8999999999999999E-3</v>
      </c>
      <c r="G192" s="11">
        <v>0.04</v>
      </c>
      <c r="H192" s="11">
        <v>0</v>
      </c>
      <c r="I192" s="11">
        <v>6.6280999999999999</v>
      </c>
      <c r="J192" s="11">
        <v>27.1874</v>
      </c>
      <c r="K192" s="11">
        <v>0</v>
      </c>
      <c r="L192" s="15">
        <f t="shared" si="2"/>
        <v>4.4444444444444444E-3</v>
      </c>
      <c r="M192" s="14">
        <f>IF(Tabla15[[#This Row],[COMBUSTIBLE]]="PETRÓLEO",L192*$Q$2,L192*$Q$4)</f>
        <v>5.3377777777777782</v>
      </c>
      <c r="N192" s="12" t="str">
        <f>IF(OR(WEEKDAY(Tabla15[[#This Row],[Fecha]],2)=6,WEEKDAY(Tabla15[[#This Row],[Fecha]],2)=7),"Fin de semana","Semana")</f>
        <v>Fin de semana</v>
      </c>
    </row>
    <row r="193" spans="1:14" ht="12.75" customHeight="1" x14ac:dyDescent="0.25">
      <c r="A193" s="11" t="str">
        <f>_xlfn.XLOOKUP(Tabla15[[#This Row],[GPS]],Hoja3!A:A,Hoja3!B:B)</f>
        <v>TRACTOR</v>
      </c>
      <c r="B193" s="11" t="str">
        <f>_xlfn.XLOOKUP(GPS!D193,Hoja3!A:A,Hoja3!D:D)</f>
        <v>PETRÓLEO</v>
      </c>
      <c r="C193" s="12" t="str">
        <f>_xlfn.XLOOKUP(Tabla15[[#This Row],[GPS]],Hoja3!A:A,Hoja3!C:C)</f>
        <v>T10</v>
      </c>
      <c r="D193" s="12" t="s">
        <v>14</v>
      </c>
      <c r="E193" s="13">
        <v>46124</v>
      </c>
      <c r="F193" s="11">
        <v>1.6999999999999999E-3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5">
        <f t="shared" si="2"/>
        <v>0</v>
      </c>
      <c r="M193" s="14">
        <f>IF(Tabla15[[#This Row],[COMBUSTIBLE]]="PETRÓLEO",L193*$Q$2,L193*$Q$4)</f>
        <v>0</v>
      </c>
      <c r="N193" s="12" t="str">
        <f>IF(OR(WEEKDAY(Tabla15[[#This Row],[Fecha]],2)=6,WEEKDAY(Tabla15[[#This Row],[Fecha]],2)=7),"Fin de semana","Semana")</f>
        <v>Fin de semana</v>
      </c>
    </row>
    <row r="194" spans="1:14" ht="12.75" customHeight="1" x14ac:dyDescent="0.25">
      <c r="A194" s="11" t="str">
        <f>_xlfn.XLOOKUP(Tabla15[[#This Row],[GPS]],Hoja3!A:A,Hoja3!B:B)</f>
        <v>CAMIONETA</v>
      </c>
      <c r="B194" s="11" t="str">
        <f>_xlfn.XLOOKUP(GPS!D194,Hoja3!A:A,Hoja3!D:D)</f>
        <v>BENCINA</v>
      </c>
      <c r="C194" s="12" t="str">
        <f>_xlfn.XLOOKUP(Tabla15[[#This Row],[GPS]],Hoja3!A:A,Hoja3!C:C)</f>
        <v>VG PIÑALEO</v>
      </c>
      <c r="D194" s="12" t="s">
        <v>114</v>
      </c>
      <c r="E194" s="13">
        <v>46123</v>
      </c>
      <c r="F194" s="11">
        <v>0</v>
      </c>
      <c r="G194" s="11">
        <v>20.53</v>
      </c>
      <c r="H194" s="11">
        <v>1</v>
      </c>
      <c r="I194" s="11">
        <v>37.575299999999999</v>
      </c>
      <c r="J194" s="11">
        <v>84.000100000000003</v>
      </c>
      <c r="K194" s="11">
        <v>0</v>
      </c>
      <c r="L194" s="15">
        <f t="shared" ref="L194:L257" si="3">IF(AND(A194="CAMIONETA",B194="BENCINA"),G194/$Q$5,IF(A194="TRACTOR",G194/$Q$3,G194/$Q$1))</f>
        <v>1.8663636363636364</v>
      </c>
      <c r="M194" s="14">
        <f>IF(Tabla15[[#This Row],[COMBUSTIBLE]]="PETRÓLEO",L194*$Q$2,L194*$Q$4)</f>
        <v>2892.8636363636365</v>
      </c>
      <c r="N194" s="12" t="str">
        <f>IF(OR(WEEKDAY(Tabla15[[#This Row],[Fecha]],2)=6,WEEKDAY(Tabla15[[#This Row],[Fecha]],2)=7),"Fin de semana","Semana")</f>
        <v>Fin de semana</v>
      </c>
    </row>
    <row r="195" spans="1:14" ht="12.75" customHeight="1" x14ac:dyDescent="0.25">
      <c r="A195" s="11" t="str">
        <f>_xlfn.XLOOKUP(Tabla15[[#This Row],[GPS]],Hoja3!A:A,Hoja3!B:B)</f>
        <v>CAMIONETA</v>
      </c>
      <c r="B195" s="11" t="str">
        <f>_xlfn.XLOOKUP(GPS!D195,Hoja3!A:A,Hoja3!D:D)</f>
        <v>BENCINA</v>
      </c>
      <c r="C195" s="12" t="str">
        <f>_xlfn.XLOOKUP(Tabla15[[#This Row],[GPS]],Hoja3!A:A,Hoja3!C:C)</f>
        <v>VG GERARDO</v>
      </c>
      <c r="D195" s="12" t="s">
        <v>118</v>
      </c>
      <c r="E195" s="13">
        <v>46123</v>
      </c>
      <c r="F195" s="11">
        <v>0</v>
      </c>
      <c r="G195" s="11">
        <v>6.7</v>
      </c>
      <c r="H195" s="11">
        <v>1</v>
      </c>
      <c r="I195" s="11">
        <v>22.539100000000001</v>
      </c>
      <c r="J195" s="11">
        <v>89.000100000000003</v>
      </c>
      <c r="K195" s="11">
        <v>0</v>
      </c>
      <c r="L195" s="15">
        <f t="shared" si="3"/>
        <v>0.60909090909090913</v>
      </c>
      <c r="M195" s="14">
        <f>IF(Tabla15[[#This Row],[COMBUSTIBLE]]="PETRÓLEO",L195*$Q$2,L195*$Q$4)</f>
        <v>944.09090909090912</v>
      </c>
      <c r="N195" s="12" t="str">
        <f>IF(OR(WEEKDAY(Tabla15[[#This Row],[Fecha]],2)=6,WEEKDAY(Tabla15[[#This Row],[Fecha]],2)=7),"Fin de semana","Semana")</f>
        <v>Fin de semana</v>
      </c>
    </row>
    <row r="196" spans="1:14" ht="12.75" customHeight="1" x14ac:dyDescent="0.25">
      <c r="A196" s="11" t="str">
        <f>_xlfn.XLOOKUP(Tabla15[[#This Row],[GPS]],Hoja3!A:A,Hoja3!B:B)</f>
        <v>CAMIONETA</v>
      </c>
      <c r="B196" s="11" t="str">
        <f>_xlfn.XLOOKUP(GPS!D196,Hoja3!A:A,Hoja3!D:D)</f>
        <v>BENCINA</v>
      </c>
      <c r="C196" s="12" t="str">
        <f>_xlfn.XLOOKUP(Tabla15[[#This Row],[GPS]],Hoja3!A:A,Hoja3!C:C)</f>
        <v>VG PIÑALEO</v>
      </c>
      <c r="D196" s="12" t="s">
        <v>114</v>
      </c>
      <c r="E196" s="13">
        <v>46124</v>
      </c>
      <c r="F196" s="11">
        <v>0</v>
      </c>
      <c r="G196" s="11">
        <v>0.05</v>
      </c>
      <c r="H196" s="11">
        <v>0</v>
      </c>
      <c r="I196" s="11">
        <v>6.9078999999999997</v>
      </c>
      <c r="J196" s="11">
        <v>19.6312</v>
      </c>
      <c r="K196" s="11">
        <v>0</v>
      </c>
      <c r="L196" s="15">
        <f t="shared" si="3"/>
        <v>4.5454545454545461E-3</v>
      </c>
      <c r="M196" s="14">
        <f>IF(Tabla15[[#This Row],[COMBUSTIBLE]]="PETRÓLEO",L196*$Q$2,L196*$Q$4)</f>
        <v>7.0454545454545467</v>
      </c>
      <c r="N196" s="12" t="str">
        <f>IF(OR(WEEKDAY(Tabla15[[#This Row],[Fecha]],2)=6,WEEKDAY(Tabla15[[#This Row],[Fecha]],2)=7),"Fin de semana","Semana")</f>
        <v>Fin de semana</v>
      </c>
    </row>
    <row r="197" spans="1:14" ht="12.75" customHeight="1" x14ac:dyDescent="0.25">
      <c r="A197" s="11" t="str">
        <f>_xlfn.XLOOKUP(Tabla15[[#This Row],[GPS]],Hoja3!A:A,Hoja3!B:B)</f>
        <v>CAMIONETA</v>
      </c>
      <c r="B197" s="11" t="str">
        <f>_xlfn.XLOOKUP(GPS!D197,Hoja3!A:A,Hoja3!D:D)</f>
        <v>BENCINA</v>
      </c>
      <c r="C197" s="12" t="str">
        <f>_xlfn.XLOOKUP(Tabla15[[#This Row],[GPS]],Hoja3!A:A,Hoja3!C:C)</f>
        <v>VG GERARDO</v>
      </c>
      <c r="D197" s="12" t="s">
        <v>118</v>
      </c>
      <c r="E197" s="13">
        <v>46122</v>
      </c>
      <c r="F197" s="11">
        <v>0</v>
      </c>
      <c r="G197" s="11">
        <v>124.95</v>
      </c>
      <c r="H197" s="11">
        <v>1</v>
      </c>
      <c r="I197" s="11">
        <v>52.524099999999997</v>
      </c>
      <c r="J197" s="11">
        <v>157.93860000000001</v>
      </c>
      <c r="K197" s="11">
        <v>0</v>
      </c>
      <c r="L197" s="15">
        <f t="shared" si="3"/>
        <v>11.359090909090909</v>
      </c>
      <c r="M197" s="14">
        <f>IF(Tabla15[[#This Row],[COMBUSTIBLE]]="PETRÓLEO",L197*$Q$2,L197*$Q$4)</f>
        <v>17606.590909090908</v>
      </c>
      <c r="N197" s="12" t="str">
        <f>IF(OR(WEEKDAY(Tabla15[[#This Row],[Fecha]],2)=6,WEEKDAY(Tabla15[[#This Row],[Fecha]],2)=7),"Fin de semana","Semana")</f>
        <v>Semana</v>
      </c>
    </row>
    <row r="198" spans="1:14" ht="12.75" customHeight="1" x14ac:dyDescent="0.25">
      <c r="A198" s="11" t="str">
        <f>_xlfn.XLOOKUP(Tabla15[[#This Row],[GPS]],Hoja3!A:A,Hoja3!B:B)</f>
        <v>CAMIONETA</v>
      </c>
      <c r="B198" s="11" t="str">
        <f>_xlfn.XLOOKUP(GPS!D198,Hoja3!A:A,Hoja3!D:D)</f>
        <v>BENCINA</v>
      </c>
      <c r="C198" s="12" t="str">
        <f>_xlfn.XLOOKUP(Tabla15[[#This Row],[GPS]],Hoja3!A:A,Hoja3!C:C)</f>
        <v>VG PIÑALEO</v>
      </c>
      <c r="D198" s="12" t="s">
        <v>114</v>
      </c>
      <c r="E198" s="13">
        <v>46122</v>
      </c>
      <c r="F198" s="11">
        <v>0</v>
      </c>
      <c r="G198" s="11">
        <v>37.94</v>
      </c>
      <c r="H198" s="11">
        <v>1</v>
      </c>
      <c r="I198" s="11">
        <v>29.592500000000001</v>
      </c>
      <c r="J198" s="11">
        <v>96.266999999999996</v>
      </c>
      <c r="K198" s="11">
        <v>0</v>
      </c>
      <c r="L198" s="15">
        <f t="shared" si="3"/>
        <v>3.4490909090909088</v>
      </c>
      <c r="M198" s="14">
        <f>IF(Tabla15[[#This Row],[COMBUSTIBLE]]="PETRÓLEO",L198*$Q$2,L198*$Q$4)</f>
        <v>5346.090909090909</v>
      </c>
      <c r="N198" s="12" t="str">
        <f>IF(OR(WEEKDAY(Tabla15[[#This Row],[Fecha]],2)=6,WEEKDAY(Tabla15[[#This Row],[Fecha]],2)=7),"Fin de semana","Semana")</f>
        <v>Semana</v>
      </c>
    </row>
    <row r="199" spans="1:14" ht="12.75" customHeight="1" x14ac:dyDescent="0.25">
      <c r="A199" s="11" t="str">
        <f>_xlfn.XLOOKUP(Tabla15[[#This Row],[GPS]],Hoja3!A:A,Hoja3!B:B)</f>
        <v>CAMIONETA</v>
      </c>
      <c r="B199" s="11" t="str">
        <f>_xlfn.XLOOKUP(GPS!D199,Hoja3!A:A,Hoja3!D:D)</f>
        <v>BENCINA</v>
      </c>
      <c r="C199" s="12" t="str">
        <f>_xlfn.XLOOKUP(Tabla15[[#This Row],[GPS]],Hoja3!A:A,Hoja3!C:C)</f>
        <v>VG GERARDO</v>
      </c>
      <c r="D199" s="12" t="s">
        <v>118</v>
      </c>
      <c r="E199" s="13">
        <v>46124</v>
      </c>
      <c r="F199" s="11">
        <v>0</v>
      </c>
      <c r="G199" s="11">
        <v>0.01</v>
      </c>
      <c r="H199" s="11">
        <v>0</v>
      </c>
      <c r="I199" s="11">
        <v>14.797499999999999</v>
      </c>
      <c r="J199" s="11">
        <v>14.797499999999999</v>
      </c>
      <c r="K199" s="11">
        <v>0</v>
      </c>
      <c r="L199" s="15">
        <f t="shared" si="3"/>
        <v>9.0909090909090909E-4</v>
      </c>
      <c r="M199" s="14">
        <f>IF(Tabla15[[#This Row],[COMBUSTIBLE]]="PETRÓLEO",L199*$Q$2,L199*$Q$4)</f>
        <v>1.4090909090909092</v>
      </c>
      <c r="N199" s="12" t="str">
        <f>IF(OR(WEEKDAY(Tabla15[[#This Row],[Fecha]],2)=6,WEEKDAY(Tabla15[[#This Row],[Fecha]],2)=7),"Fin de semana","Semana")</f>
        <v>Fin de semana</v>
      </c>
    </row>
    <row r="200" spans="1:14" ht="12.75" customHeight="1" x14ac:dyDescent="0.25">
      <c r="A200" s="11" t="str">
        <f>_xlfn.XLOOKUP(Tabla15[[#This Row],[GPS]],Hoja3!A:A,Hoja3!B:B)</f>
        <v>CAMIONETA</v>
      </c>
      <c r="B200" s="11" t="str">
        <f>_xlfn.XLOOKUP(GPS!D200,Hoja3!A:A,Hoja3!D:D)</f>
        <v>PETRÓLEO</v>
      </c>
      <c r="C200" s="12" t="str">
        <f>_xlfn.XLOOKUP(Tabla15[[#This Row],[GPS]],Hoja3!A:A,Hoja3!C:C)</f>
        <v>SERGIO ROJAS</v>
      </c>
      <c r="D200" s="12" t="s">
        <v>128</v>
      </c>
      <c r="E200" s="13">
        <v>46124</v>
      </c>
      <c r="F200" s="11">
        <v>0</v>
      </c>
      <c r="G200" s="11">
        <v>3.16</v>
      </c>
      <c r="H200" s="11">
        <v>1</v>
      </c>
      <c r="I200" s="11">
        <v>17.995100000000001</v>
      </c>
      <c r="J200" s="11">
        <v>40.262500000000003</v>
      </c>
      <c r="K200" s="11">
        <v>0</v>
      </c>
      <c r="L200" s="15">
        <f t="shared" si="3"/>
        <v>0.35111111111111115</v>
      </c>
      <c r="M200" s="14">
        <f>IF(Tabla15[[#This Row],[COMBUSTIBLE]]="PETRÓLEO",L200*$Q$2,L200*$Q$4)</f>
        <v>421.68444444444447</v>
      </c>
      <c r="N200" s="12" t="str">
        <f>IF(OR(WEEKDAY(Tabla15[[#This Row],[Fecha]],2)=6,WEEKDAY(Tabla15[[#This Row],[Fecha]],2)=7),"Fin de semana","Semana")</f>
        <v>Fin de semana</v>
      </c>
    </row>
    <row r="201" spans="1:14" ht="12.75" customHeight="1" x14ac:dyDescent="0.25">
      <c r="A201" s="11" t="str">
        <f>_xlfn.XLOOKUP(Tabla15[[#This Row],[GPS]],Hoja3!A:A,Hoja3!B:B)</f>
        <v>CAMIONETA</v>
      </c>
      <c r="B201" s="11" t="str">
        <f>_xlfn.XLOOKUP(GPS!D201,Hoja3!A:A,Hoja3!D:D)</f>
        <v>PETRÓLEO</v>
      </c>
      <c r="C201" s="12" t="str">
        <f>_xlfn.XLOOKUP(Tabla15[[#This Row],[GPS]],Hoja3!A:A,Hoja3!C:C)</f>
        <v>SERGIO ROJAS</v>
      </c>
      <c r="D201" s="12" t="s">
        <v>128</v>
      </c>
      <c r="E201" s="13">
        <v>46122</v>
      </c>
      <c r="F201" s="11">
        <v>0</v>
      </c>
      <c r="G201" s="11">
        <v>70.92</v>
      </c>
      <c r="H201" s="11">
        <v>1</v>
      </c>
      <c r="I201" s="11">
        <v>26.103100000000001</v>
      </c>
      <c r="J201" s="11">
        <v>87.007000000000005</v>
      </c>
      <c r="K201" s="11">
        <v>0</v>
      </c>
      <c r="L201" s="15">
        <f t="shared" si="3"/>
        <v>7.88</v>
      </c>
      <c r="M201" s="14">
        <f>IF(Tabla15[[#This Row],[COMBUSTIBLE]]="PETRÓLEO",L201*$Q$2,L201*$Q$4)</f>
        <v>9463.8799999999992</v>
      </c>
      <c r="N201" s="12" t="str">
        <f>IF(OR(WEEKDAY(Tabla15[[#This Row],[Fecha]],2)=6,WEEKDAY(Tabla15[[#This Row],[Fecha]],2)=7),"Fin de semana","Semana")</f>
        <v>Semana</v>
      </c>
    </row>
    <row r="202" spans="1:14" ht="12.75" customHeight="1" x14ac:dyDescent="0.25">
      <c r="A202" s="11" t="str">
        <f>_xlfn.XLOOKUP(Tabla15[[#This Row],[GPS]],Hoja3!A:A,Hoja3!B:B)</f>
        <v>CAMIONETA</v>
      </c>
      <c r="B202" s="11" t="str">
        <f>_xlfn.XLOOKUP(GPS!D202,Hoja3!A:A,Hoja3!D:D)</f>
        <v>BENCINA</v>
      </c>
      <c r="C202" s="12" t="str">
        <f>_xlfn.XLOOKUP(Tabla15[[#This Row],[GPS]],Hoja3!A:A,Hoja3!C:C)</f>
        <v>VG CERRILLOS</v>
      </c>
      <c r="D202" s="12" t="s">
        <v>137</v>
      </c>
      <c r="E202" s="13">
        <v>46122</v>
      </c>
      <c r="F202" s="11">
        <v>0</v>
      </c>
      <c r="G202" s="11">
        <v>64.28</v>
      </c>
      <c r="H202" s="11">
        <v>1</v>
      </c>
      <c r="I202" s="11">
        <v>21.938500000000001</v>
      </c>
      <c r="J202" s="11">
        <v>94.766800000000003</v>
      </c>
      <c r="K202" s="11">
        <v>0</v>
      </c>
      <c r="L202" s="15">
        <f t="shared" si="3"/>
        <v>5.8436363636363637</v>
      </c>
      <c r="M202" s="14">
        <f>IF(Tabla15[[#This Row],[COMBUSTIBLE]]="PETRÓLEO",L202*$Q$2,L202*$Q$4)</f>
        <v>9057.636363636364</v>
      </c>
      <c r="N202" s="12" t="str">
        <f>IF(OR(WEEKDAY(Tabla15[[#This Row],[Fecha]],2)=6,WEEKDAY(Tabla15[[#This Row],[Fecha]],2)=7),"Fin de semana","Semana")</f>
        <v>Semana</v>
      </c>
    </row>
    <row r="203" spans="1:14" ht="12.75" customHeight="1" x14ac:dyDescent="0.25">
      <c r="A203" s="11" t="str">
        <f>_xlfn.XLOOKUP(Tabla15[[#This Row],[GPS]],Hoja3!A:A,Hoja3!B:B)</f>
        <v>CAMIONETA</v>
      </c>
      <c r="B203" s="11" t="str">
        <f>_xlfn.XLOOKUP(GPS!D203,Hoja3!A:A,Hoja3!D:D)</f>
        <v>PETRÓLEO</v>
      </c>
      <c r="C203" s="12" t="str">
        <f>_xlfn.XLOOKUP(Tabla15[[#This Row],[GPS]],Hoja3!A:A,Hoja3!C:C)</f>
        <v>CAMPO PAINE</v>
      </c>
      <c r="D203" s="12" t="s">
        <v>131</v>
      </c>
      <c r="E203" s="13">
        <v>46125</v>
      </c>
      <c r="F203" s="11">
        <v>8.7746999999999993</v>
      </c>
      <c r="G203" s="11">
        <v>36.770000000000003</v>
      </c>
      <c r="H203" s="11">
        <v>1</v>
      </c>
      <c r="I203" s="11">
        <v>16.922699999999999</v>
      </c>
      <c r="J203" s="11">
        <v>64.375500000000002</v>
      </c>
      <c r="K203" s="11">
        <v>1.1000000000000001</v>
      </c>
      <c r="L203" s="15">
        <f t="shared" si="3"/>
        <v>4.0855555555555556</v>
      </c>
      <c r="M203" s="14">
        <f>IF(Tabla15[[#This Row],[COMBUSTIBLE]]="PETRÓLEO",L203*$Q$2,L203*$Q$4)</f>
        <v>4906.7522222222224</v>
      </c>
      <c r="N203" s="12" t="str">
        <f>IF(OR(WEEKDAY(Tabla15[[#This Row],[Fecha]],2)=6,WEEKDAY(Tabla15[[#This Row],[Fecha]],2)=7),"Fin de semana","Semana")</f>
        <v>Semana</v>
      </c>
    </row>
    <row r="204" spans="1:14" ht="12.75" customHeight="1" x14ac:dyDescent="0.25">
      <c r="A204" s="11" t="str">
        <f>_xlfn.XLOOKUP(Tabla15[[#This Row],[GPS]],Hoja3!A:A,Hoja3!B:B)</f>
        <v>TRACTOR</v>
      </c>
      <c r="B204" s="11" t="str">
        <f>_xlfn.XLOOKUP(GPS!D204,Hoja3!A:A,Hoja3!D:D)</f>
        <v>PETRÓLEO</v>
      </c>
      <c r="C204" s="12" t="str">
        <f>_xlfn.XLOOKUP(Tabla15[[#This Row],[GPS]],Hoja3!A:A,Hoja3!C:C)</f>
        <v>T13</v>
      </c>
      <c r="D204" s="12" t="s">
        <v>19</v>
      </c>
      <c r="E204" s="13">
        <v>46125</v>
      </c>
      <c r="F204" s="11">
        <v>8.6811000000000007</v>
      </c>
      <c r="G204" s="11">
        <v>23.07</v>
      </c>
      <c r="H204" s="11">
        <v>1</v>
      </c>
      <c r="I204" s="11">
        <v>5.4349999999999996</v>
      </c>
      <c r="J204" s="11">
        <v>33.187800000000003</v>
      </c>
      <c r="K204" s="11">
        <v>1.0900000000000001</v>
      </c>
      <c r="L204" s="15">
        <f t="shared" si="3"/>
        <v>3.8450000000000002</v>
      </c>
      <c r="M204" s="14">
        <f>IF(Tabla15[[#This Row],[COMBUSTIBLE]]="PETRÓLEO",L204*$Q$2,L204*$Q$4)</f>
        <v>4617.8450000000003</v>
      </c>
      <c r="N204" s="12" t="str">
        <f>IF(OR(WEEKDAY(Tabla15[[#This Row],[Fecha]],2)=6,WEEKDAY(Tabla15[[#This Row],[Fecha]],2)=7),"Fin de semana","Semana")</f>
        <v>Semana</v>
      </c>
    </row>
    <row r="205" spans="1:14" ht="12.75" customHeight="1" x14ac:dyDescent="0.25">
      <c r="A205" s="11" t="str">
        <f>_xlfn.XLOOKUP(Tabla15[[#This Row],[GPS]],Hoja3!A:A,Hoja3!B:B)</f>
        <v>TRACTOR</v>
      </c>
      <c r="B205" s="11" t="str">
        <f>_xlfn.XLOOKUP(GPS!D205,Hoja3!A:A,Hoja3!D:D)</f>
        <v>PETRÓLEO</v>
      </c>
      <c r="C205" s="12" t="str">
        <f>_xlfn.XLOOKUP(Tabla15[[#This Row],[GPS]],Hoja3!A:A,Hoja3!C:C)</f>
        <v>T7</v>
      </c>
      <c r="D205" s="12" t="s">
        <v>26</v>
      </c>
      <c r="E205" s="13">
        <v>46125</v>
      </c>
      <c r="F205" s="11">
        <v>6.7324999999999999</v>
      </c>
      <c r="G205" s="11">
        <v>22.03</v>
      </c>
      <c r="H205" s="11">
        <v>1</v>
      </c>
      <c r="I205" s="11">
        <v>5.3484999999999996</v>
      </c>
      <c r="J205" s="11">
        <v>17.408799999999999</v>
      </c>
      <c r="K205" s="11">
        <v>0.84</v>
      </c>
      <c r="L205" s="15">
        <f t="shared" si="3"/>
        <v>3.6716666666666669</v>
      </c>
      <c r="M205" s="14">
        <f>IF(Tabla15[[#This Row],[COMBUSTIBLE]]="PETRÓLEO",L205*$Q$2,L205*$Q$4)</f>
        <v>4409.6716666666671</v>
      </c>
      <c r="N205" s="12" t="str">
        <f>IF(OR(WEEKDAY(Tabla15[[#This Row],[Fecha]],2)=6,WEEKDAY(Tabla15[[#This Row],[Fecha]],2)=7),"Fin de semana","Semana")</f>
        <v>Semana</v>
      </c>
    </row>
    <row r="206" spans="1:14" ht="12.75" customHeight="1" x14ac:dyDescent="0.25">
      <c r="A206" s="11" t="str">
        <f>_xlfn.XLOOKUP(Tabla15[[#This Row],[GPS]],Hoja3!A:A,Hoja3!B:B)</f>
        <v>TRACTOR</v>
      </c>
      <c r="B206" s="11" t="str">
        <f>_xlfn.XLOOKUP(GPS!D206,Hoja3!A:A,Hoja3!D:D)</f>
        <v>PETRÓLEO</v>
      </c>
      <c r="C206" s="12" t="str">
        <f>_xlfn.XLOOKUP(Tabla15[[#This Row],[GPS]],Hoja3!A:A,Hoja3!C:C)</f>
        <v>T13</v>
      </c>
      <c r="D206" s="12" t="s">
        <v>19</v>
      </c>
      <c r="E206" s="13">
        <v>46126</v>
      </c>
      <c r="F206" s="11">
        <v>6.665</v>
      </c>
      <c r="G206" s="11">
        <v>18.29</v>
      </c>
      <c r="H206" s="11">
        <v>1</v>
      </c>
      <c r="I206" s="11">
        <v>5.4957000000000003</v>
      </c>
      <c r="J206" s="11">
        <v>18.8904</v>
      </c>
      <c r="K206" s="11">
        <v>0.83</v>
      </c>
      <c r="L206" s="15">
        <f t="shared" si="3"/>
        <v>3.0483333333333333</v>
      </c>
      <c r="M206" s="14">
        <f>IF(Tabla15[[#This Row],[COMBUSTIBLE]]="PETRÓLEO",L206*$Q$2,L206*$Q$4)</f>
        <v>3661.0483333333332</v>
      </c>
      <c r="N206" s="12" t="str">
        <f>IF(OR(WEEKDAY(Tabla15[[#This Row],[Fecha]],2)=6,WEEKDAY(Tabla15[[#This Row],[Fecha]],2)=7),"Fin de semana","Semana")</f>
        <v>Semana</v>
      </c>
    </row>
    <row r="207" spans="1:14" ht="12.75" customHeight="1" x14ac:dyDescent="0.25">
      <c r="A207" s="11" t="str">
        <f>_xlfn.XLOOKUP(Tabla15[[#This Row],[GPS]],Hoja3!A:A,Hoja3!B:B)</f>
        <v>CAMIONETA</v>
      </c>
      <c r="B207" s="11" t="str">
        <f>_xlfn.XLOOKUP(GPS!D207,Hoja3!A:A,Hoja3!D:D)</f>
        <v>PETRÓLEO</v>
      </c>
      <c r="C207" s="12" t="str">
        <f>_xlfn.XLOOKUP(Tabla15[[#This Row],[GPS]],Hoja3!A:A,Hoja3!C:C)</f>
        <v>CAMPO CERRILLOS</v>
      </c>
      <c r="D207" s="12" t="s">
        <v>121</v>
      </c>
      <c r="E207" s="13">
        <v>46126</v>
      </c>
      <c r="F207" s="11">
        <v>6.6528</v>
      </c>
      <c r="G207" s="11">
        <v>46.31</v>
      </c>
      <c r="H207" s="11">
        <v>1</v>
      </c>
      <c r="I207" s="11">
        <v>7.0149999999999997</v>
      </c>
      <c r="J207" s="11">
        <v>77</v>
      </c>
      <c r="K207" s="11">
        <v>0.83</v>
      </c>
      <c r="L207" s="15">
        <f t="shared" si="3"/>
        <v>5.1455555555555561</v>
      </c>
      <c r="M207" s="14">
        <f>IF(Tabla15[[#This Row],[COMBUSTIBLE]]="PETRÓLEO",L207*$Q$2,L207*$Q$4)</f>
        <v>6179.8122222222228</v>
      </c>
      <c r="N207" s="12" t="str">
        <f>IF(OR(WEEKDAY(Tabla15[[#This Row],[Fecha]],2)=6,WEEKDAY(Tabla15[[#This Row],[Fecha]],2)=7),"Fin de semana","Semana")</f>
        <v>Semana</v>
      </c>
    </row>
    <row r="208" spans="1:14" ht="12.75" customHeight="1" x14ac:dyDescent="0.25">
      <c r="A208" s="11" t="str">
        <f>_xlfn.XLOOKUP(Tabla15[[#This Row],[GPS]],Hoja3!A:A,Hoja3!B:B)</f>
        <v>CAMIONETA</v>
      </c>
      <c r="B208" s="11" t="str">
        <f>_xlfn.XLOOKUP(GPS!D208,Hoja3!A:A,Hoja3!D:D)</f>
        <v>PETRÓLEO</v>
      </c>
      <c r="C208" s="12" t="str">
        <f>_xlfn.XLOOKUP(Tabla15[[#This Row],[GPS]],Hoja3!A:A,Hoja3!C:C)</f>
        <v>RODRIGO SALINAS</v>
      </c>
      <c r="D208" s="12" t="s">
        <v>109</v>
      </c>
      <c r="E208" s="13">
        <v>46125</v>
      </c>
      <c r="F208" s="11">
        <v>6.0152999999999999</v>
      </c>
      <c r="G208" s="11">
        <v>163.87</v>
      </c>
      <c r="H208" s="11">
        <v>1</v>
      </c>
      <c r="I208" s="11">
        <v>33.935600000000001</v>
      </c>
      <c r="J208" s="11">
        <v>178.16239999999999</v>
      </c>
      <c r="K208" s="11">
        <v>0.75</v>
      </c>
      <c r="L208" s="15">
        <f t="shared" si="3"/>
        <v>18.207777777777778</v>
      </c>
      <c r="M208" s="14">
        <f>IF(Tabla15[[#This Row],[COMBUSTIBLE]]="PETRÓLEO",L208*$Q$2,L208*$Q$4)</f>
        <v>21867.541111111113</v>
      </c>
      <c r="N208" s="12" t="str">
        <f>IF(OR(WEEKDAY(Tabla15[[#This Row],[Fecha]],2)=6,WEEKDAY(Tabla15[[#This Row],[Fecha]],2)=7),"Fin de semana","Semana")</f>
        <v>Semana</v>
      </c>
    </row>
    <row r="209" spans="1:14" ht="12.75" customHeight="1" x14ac:dyDescent="0.25">
      <c r="A209" s="11" t="str">
        <f>_xlfn.XLOOKUP(Tabla15[[#This Row],[GPS]],Hoja3!A:A,Hoja3!B:B)</f>
        <v>CAMIONETA</v>
      </c>
      <c r="B209" s="11" t="str">
        <f>_xlfn.XLOOKUP(GPS!D209,Hoja3!A:A,Hoja3!D:D)</f>
        <v>PETRÓLEO</v>
      </c>
      <c r="C209" s="12" t="str">
        <f>_xlfn.XLOOKUP(Tabla15[[#This Row],[GPS]],Hoja3!A:A,Hoja3!C:C)</f>
        <v>CAMPO CERRILLOS</v>
      </c>
      <c r="D209" s="12" t="s">
        <v>121</v>
      </c>
      <c r="E209" s="13">
        <v>46125</v>
      </c>
      <c r="F209" s="11">
        <v>4.8041999999999998</v>
      </c>
      <c r="G209" s="11">
        <v>175.57</v>
      </c>
      <c r="H209" s="11">
        <v>1</v>
      </c>
      <c r="I209" s="11">
        <v>30.835599999999999</v>
      </c>
      <c r="J209" s="11">
        <v>159.0498</v>
      </c>
      <c r="K209" s="11">
        <v>0.6</v>
      </c>
      <c r="L209" s="15">
        <f t="shared" si="3"/>
        <v>19.507777777777775</v>
      </c>
      <c r="M209" s="14">
        <f>IF(Tabla15[[#This Row],[COMBUSTIBLE]]="PETRÓLEO",L209*$Q$2,L209*$Q$4)</f>
        <v>23428.841111111109</v>
      </c>
      <c r="N209" s="12" t="str">
        <f>IF(OR(WEEKDAY(Tabla15[[#This Row],[Fecha]],2)=6,WEEKDAY(Tabla15[[#This Row],[Fecha]],2)=7),"Fin de semana","Semana")</f>
        <v>Semana</v>
      </c>
    </row>
    <row r="210" spans="1:14" ht="12.75" customHeight="1" x14ac:dyDescent="0.25">
      <c r="A210" s="11" t="str">
        <f>_xlfn.XLOOKUP(Tabla15[[#This Row],[GPS]],Hoja3!A:A,Hoja3!B:B)</f>
        <v>TRACTOR</v>
      </c>
      <c r="B210" s="11" t="str">
        <f>_xlfn.XLOOKUP(GPS!D210,Hoja3!A:A,Hoja3!D:D)</f>
        <v>PETRÓLEO</v>
      </c>
      <c r="C210" s="12" t="str">
        <f>_xlfn.XLOOKUP(Tabla15[[#This Row],[GPS]],Hoja3!A:A,Hoja3!C:C)</f>
        <v>T6</v>
      </c>
      <c r="D210" s="12" t="s">
        <v>25</v>
      </c>
      <c r="E210" s="13">
        <v>46125</v>
      </c>
      <c r="F210" s="11">
        <v>4.7011000000000003</v>
      </c>
      <c r="G210" s="11">
        <v>9</v>
      </c>
      <c r="H210" s="11">
        <v>1</v>
      </c>
      <c r="I210" s="11">
        <v>4.9702000000000002</v>
      </c>
      <c r="J210" s="11">
        <v>66.023799999999994</v>
      </c>
      <c r="K210" s="11">
        <v>0.59</v>
      </c>
      <c r="L210" s="15">
        <f t="shared" si="3"/>
        <v>1.5</v>
      </c>
      <c r="M210" s="14">
        <f>IF(Tabla15[[#This Row],[COMBUSTIBLE]]="PETRÓLEO",L210*$Q$2,L210*$Q$4)</f>
        <v>1801.5</v>
      </c>
      <c r="N210" s="12" t="str">
        <f>IF(OR(WEEKDAY(Tabla15[[#This Row],[Fecha]],2)=6,WEEKDAY(Tabla15[[#This Row],[Fecha]],2)=7),"Fin de semana","Semana")</f>
        <v>Semana</v>
      </c>
    </row>
    <row r="211" spans="1:14" ht="12.75" customHeight="1" x14ac:dyDescent="0.25">
      <c r="A211" s="11" t="str">
        <f>_xlfn.XLOOKUP(Tabla15[[#This Row],[GPS]],Hoja3!A:A,Hoja3!B:B)</f>
        <v>TRACTOR</v>
      </c>
      <c r="B211" s="11" t="str">
        <f>_xlfn.XLOOKUP(GPS!D211,Hoja3!A:A,Hoja3!D:D)</f>
        <v>PETRÓLEO</v>
      </c>
      <c r="C211" s="12" t="str">
        <f>_xlfn.XLOOKUP(Tabla15[[#This Row],[GPS]],Hoja3!A:A,Hoja3!C:C)</f>
        <v>T12</v>
      </c>
      <c r="D211" s="12" t="s">
        <v>17</v>
      </c>
      <c r="E211" s="13">
        <v>46126</v>
      </c>
      <c r="F211" s="11">
        <v>4.6516000000000002</v>
      </c>
      <c r="G211" s="11">
        <v>19.47</v>
      </c>
      <c r="H211" s="11">
        <v>1</v>
      </c>
      <c r="I211" s="11">
        <v>11.593500000000001</v>
      </c>
      <c r="J211" s="11">
        <v>31.0001</v>
      </c>
      <c r="K211" s="11">
        <v>0.57999999999999996</v>
      </c>
      <c r="L211" s="15">
        <f t="shared" si="3"/>
        <v>3.2449999999999997</v>
      </c>
      <c r="M211" s="14">
        <f>IF(Tabla15[[#This Row],[COMBUSTIBLE]]="PETRÓLEO",L211*$Q$2,L211*$Q$4)</f>
        <v>3897.2449999999994</v>
      </c>
      <c r="N211" s="12" t="str">
        <f>IF(OR(WEEKDAY(Tabla15[[#This Row],[Fecha]],2)=6,WEEKDAY(Tabla15[[#This Row],[Fecha]],2)=7),"Fin de semana","Semana")</f>
        <v>Semana</v>
      </c>
    </row>
    <row r="212" spans="1:14" ht="12.75" customHeight="1" x14ac:dyDescent="0.25">
      <c r="A212" s="11" t="str">
        <f>_xlfn.XLOOKUP(Tabla15[[#This Row],[GPS]],Hoja3!A:A,Hoja3!B:B)</f>
        <v>CAMIONETA</v>
      </c>
      <c r="B212" s="11" t="str">
        <f>_xlfn.XLOOKUP(GPS!D212,Hoja3!A:A,Hoja3!D:D)</f>
        <v>PETRÓLEO</v>
      </c>
      <c r="C212" s="12" t="str">
        <f>_xlfn.XLOOKUP(Tabla15[[#This Row],[GPS]],Hoja3!A:A,Hoja3!C:C)</f>
        <v>RODRIGO SALINAS</v>
      </c>
      <c r="D212" s="12" t="s">
        <v>109</v>
      </c>
      <c r="E212" s="13">
        <v>46126</v>
      </c>
      <c r="F212" s="11">
        <v>4.4718999999999998</v>
      </c>
      <c r="G212" s="11">
        <v>150.51</v>
      </c>
      <c r="H212" s="11">
        <v>1</v>
      </c>
      <c r="I212" s="11">
        <v>65.072299999999998</v>
      </c>
      <c r="J212" s="11">
        <v>175.49549999999999</v>
      </c>
      <c r="K212" s="11">
        <v>0.56000000000000005</v>
      </c>
      <c r="L212" s="15">
        <f t="shared" si="3"/>
        <v>16.723333333333333</v>
      </c>
      <c r="M212" s="14">
        <f>IF(Tabla15[[#This Row],[COMBUSTIBLE]]="PETRÓLEO",L212*$Q$2,L212*$Q$4)</f>
        <v>20084.723333333332</v>
      </c>
      <c r="N212" s="12" t="str">
        <f>IF(OR(WEEKDAY(Tabla15[[#This Row],[Fecha]],2)=6,WEEKDAY(Tabla15[[#This Row],[Fecha]],2)=7),"Fin de semana","Semana")</f>
        <v>Semana</v>
      </c>
    </row>
    <row r="213" spans="1:14" ht="12.75" customHeight="1" x14ac:dyDescent="0.25">
      <c r="A213" s="11" t="str">
        <f>_xlfn.XLOOKUP(Tabla15[[#This Row],[GPS]],Hoja3!A:A,Hoja3!B:B)</f>
        <v>TRACTOR</v>
      </c>
      <c r="B213" s="11" t="str">
        <f>_xlfn.XLOOKUP(GPS!D213,Hoja3!A:A,Hoja3!D:D)</f>
        <v>PETRÓLEO</v>
      </c>
      <c r="C213" s="12" t="str">
        <f>_xlfn.XLOOKUP(Tabla15[[#This Row],[GPS]],Hoja3!A:A,Hoja3!C:C)</f>
        <v>T12</v>
      </c>
      <c r="D213" s="12" t="s">
        <v>17</v>
      </c>
      <c r="E213" s="13">
        <v>46125</v>
      </c>
      <c r="F213" s="11">
        <v>4.0556000000000001</v>
      </c>
      <c r="G213" s="11">
        <v>16.79</v>
      </c>
      <c r="H213" s="11">
        <v>1</v>
      </c>
      <c r="I213" s="11">
        <v>8.0297000000000001</v>
      </c>
      <c r="J213" s="11">
        <v>28</v>
      </c>
      <c r="K213" s="11">
        <v>0.51</v>
      </c>
      <c r="L213" s="15">
        <f t="shared" si="3"/>
        <v>2.7983333333333333</v>
      </c>
      <c r="M213" s="14">
        <f>IF(Tabla15[[#This Row],[COMBUSTIBLE]]="PETRÓLEO",L213*$Q$2,L213*$Q$4)</f>
        <v>3360.7983333333332</v>
      </c>
      <c r="N213" s="12" t="str">
        <f>IF(OR(WEEKDAY(Tabla15[[#This Row],[Fecha]],2)=6,WEEKDAY(Tabla15[[#This Row],[Fecha]],2)=7),"Fin de semana","Semana")</f>
        <v>Semana</v>
      </c>
    </row>
    <row r="214" spans="1:14" ht="12.75" customHeight="1" x14ac:dyDescent="0.25">
      <c r="A214" s="11" t="str">
        <f>_xlfn.XLOOKUP(Tabla15[[#This Row],[GPS]],Hoja3!A:A,Hoja3!B:B)</f>
        <v>TRACTOR</v>
      </c>
      <c r="B214" s="11" t="str">
        <f>_xlfn.XLOOKUP(GPS!D214,Hoja3!A:A,Hoja3!D:D)</f>
        <v>PETRÓLEO</v>
      </c>
      <c r="C214" s="12" t="str">
        <f>_xlfn.XLOOKUP(Tabla15[[#This Row],[GPS]],Hoja3!A:A,Hoja3!C:C)</f>
        <v>T14</v>
      </c>
      <c r="D214" s="12" t="s">
        <v>21</v>
      </c>
      <c r="E214" s="13">
        <v>46125</v>
      </c>
      <c r="F214" s="11">
        <v>3.5817000000000001</v>
      </c>
      <c r="G214" s="11">
        <v>3.69</v>
      </c>
      <c r="H214" s="11">
        <v>1</v>
      </c>
      <c r="I214" s="11">
        <v>8.1013999999999999</v>
      </c>
      <c r="J214" s="11">
        <v>67.561000000000007</v>
      </c>
      <c r="K214" s="11">
        <v>0.45</v>
      </c>
      <c r="L214" s="15">
        <f t="shared" si="3"/>
        <v>0.61499999999999999</v>
      </c>
      <c r="M214" s="14">
        <f>IF(Tabla15[[#This Row],[COMBUSTIBLE]]="PETRÓLEO",L214*$Q$2,L214*$Q$4)</f>
        <v>738.61500000000001</v>
      </c>
      <c r="N214" s="12" t="str">
        <f>IF(OR(WEEKDAY(Tabla15[[#This Row],[Fecha]],2)=6,WEEKDAY(Tabla15[[#This Row],[Fecha]],2)=7),"Fin de semana","Semana")</f>
        <v>Semana</v>
      </c>
    </row>
    <row r="215" spans="1:14" ht="12.75" customHeight="1" x14ac:dyDescent="0.25">
      <c r="A215" s="11" t="str">
        <f>_xlfn.XLOOKUP(Tabla15[[#This Row],[GPS]],Hoja3!A:A,Hoja3!B:B)</f>
        <v>CAMIONETA</v>
      </c>
      <c r="B215" s="11" t="str">
        <f>_xlfn.XLOOKUP(GPS!D215,Hoja3!A:A,Hoja3!D:D)</f>
        <v>PETRÓLEO</v>
      </c>
      <c r="C215" s="12" t="str">
        <f>_xlfn.XLOOKUP(Tabla15[[#This Row],[GPS]],Hoja3!A:A,Hoja3!C:C)</f>
        <v>CAMPO PAINE</v>
      </c>
      <c r="D215" s="12" t="s">
        <v>131</v>
      </c>
      <c r="E215" s="13">
        <v>46126</v>
      </c>
      <c r="F215" s="11">
        <v>3.5524</v>
      </c>
      <c r="G215" s="11">
        <v>27.22</v>
      </c>
      <c r="H215" s="11">
        <v>1</v>
      </c>
      <c r="I215" s="11">
        <v>2.8336000000000001</v>
      </c>
      <c r="J215" s="11">
        <v>52.837600000000002</v>
      </c>
      <c r="K215" s="11">
        <v>0.44</v>
      </c>
      <c r="L215" s="15">
        <f t="shared" si="3"/>
        <v>3.0244444444444443</v>
      </c>
      <c r="M215" s="14">
        <f>IF(Tabla15[[#This Row],[COMBUSTIBLE]]="PETRÓLEO",L215*$Q$2,L215*$Q$4)</f>
        <v>3632.3577777777778</v>
      </c>
      <c r="N215" s="12" t="str">
        <f>IF(OR(WEEKDAY(Tabla15[[#This Row],[Fecha]],2)=6,WEEKDAY(Tabla15[[#This Row],[Fecha]],2)=7),"Fin de semana","Semana")</f>
        <v>Semana</v>
      </c>
    </row>
    <row r="216" spans="1:14" ht="12.75" customHeight="1" x14ac:dyDescent="0.25">
      <c r="A216" s="11" t="str">
        <f>_xlfn.XLOOKUP(Tabla15[[#This Row],[GPS]],Hoja3!A:A,Hoja3!B:B)</f>
        <v>TRACTOR</v>
      </c>
      <c r="B216" s="11" t="str">
        <f>_xlfn.XLOOKUP(GPS!D216,Hoja3!A:A,Hoja3!D:D)</f>
        <v>PETRÓLEO</v>
      </c>
      <c r="C216" s="12" t="str">
        <f>_xlfn.XLOOKUP(Tabla15[[#This Row],[GPS]],Hoja3!A:A,Hoja3!C:C)</f>
        <v>T14</v>
      </c>
      <c r="D216" s="12" t="s">
        <v>21</v>
      </c>
      <c r="E216" s="13">
        <v>46126</v>
      </c>
      <c r="F216" s="11">
        <v>3.3902000000000001</v>
      </c>
      <c r="G216" s="11">
        <v>4.0999999999999996</v>
      </c>
      <c r="H216" s="11">
        <v>1</v>
      </c>
      <c r="I216" s="11">
        <v>21.561599999999999</v>
      </c>
      <c r="J216" s="11">
        <v>102.1563</v>
      </c>
      <c r="K216" s="11">
        <v>0.42</v>
      </c>
      <c r="L216" s="15">
        <f t="shared" si="3"/>
        <v>0.68333333333333324</v>
      </c>
      <c r="M216" s="14">
        <f>IF(Tabla15[[#This Row],[COMBUSTIBLE]]="PETRÓLEO",L216*$Q$2,L216*$Q$4)</f>
        <v>820.68333333333317</v>
      </c>
      <c r="N216" s="12" t="str">
        <f>IF(OR(WEEKDAY(Tabla15[[#This Row],[Fecha]],2)=6,WEEKDAY(Tabla15[[#This Row],[Fecha]],2)=7),"Fin de semana","Semana")</f>
        <v>Semana</v>
      </c>
    </row>
    <row r="217" spans="1:14" ht="12.75" customHeight="1" x14ac:dyDescent="0.25">
      <c r="A217" s="11" t="str">
        <f>_xlfn.XLOOKUP(Tabla15[[#This Row],[GPS]],Hoja3!A:A,Hoja3!B:B)</f>
        <v>TRACTOR</v>
      </c>
      <c r="B217" s="11" t="str">
        <f>_xlfn.XLOOKUP(GPS!D217,Hoja3!A:A,Hoja3!D:D)</f>
        <v>PETRÓLEO</v>
      </c>
      <c r="C217" s="12" t="str">
        <f>_xlfn.XLOOKUP(Tabla15[[#This Row],[GPS]],Hoja3!A:A,Hoja3!C:C)</f>
        <v>T7</v>
      </c>
      <c r="D217" s="12" t="s">
        <v>26</v>
      </c>
      <c r="E217" s="13">
        <v>46126</v>
      </c>
      <c r="F217" s="11">
        <v>3.2791000000000001</v>
      </c>
      <c r="G217" s="11">
        <v>13.7</v>
      </c>
      <c r="H217" s="11">
        <v>1</v>
      </c>
      <c r="I217" s="11">
        <v>5.1868999999999996</v>
      </c>
      <c r="J217" s="11">
        <v>18.6311</v>
      </c>
      <c r="K217" s="11">
        <v>0.41</v>
      </c>
      <c r="L217" s="15">
        <f t="shared" si="3"/>
        <v>2.2833333333333332</v>
      </c>
      <c r="M217" s="14">
        <f>IF(Tabla15[[#This Row],[COMBUSTIBLE]]="PETRÓLEO",L217*$Q$2,L217*$Q$4)</f>
        <v>2742.2833333333333</v>
      </c>
      <c r="N217" s="12" t="str">
        <f>IF(OR(WEEKDAY(Tabla15[[#This Row],[Fecha]],2)=6,WEEKDAY(Tabla15[[#This Row],[Fecha]],2)=7),"Fin de semana","Semana")</f>
        <v>Semana</v>
      </c>
    </row>
    <row r="218" spans="1:14" ht="12.75" customHeight="1" x14ac:dyDescent="0.25">
      <c r="A218" s="11" t="str">
        <f>_xlfn.XLOOKUP(Tabla15[[#This Row],[GPS]],Hoja3!A:A,Hoja3!B:B)</f>
        <v>CAMIONETA</v>
      </c>
      <c r="B218" s="11" t="str">
        <f>_xlfn.XLOOKUP(GPS!D218,Hoja3!A:A,Hoja3!D:D)</f>
        <v>PETRÓLEO</v>
      </c>
      <c r="C218" s="12" t="str">
        <f>_xlfn.XLOOKUP(Tabla15[[#This Row],[GPS]],Hoja3!A:A,Hoja3!C:C)</f>
        <v>GONZALO GUERRERO</v>
      </c>
      <c r="D218" s="12" t="s">
        <v>126</v>
      </c>
      <c r="E218" s="13">
        <v>46125</v>
      </c>
      <c r="F218" s="11">
        <v>3.2244000000000002</v>
      </c>
      <c r="G218" s="11">
        <v>86.63</v>
      </c>
      <c r="H218" s="11">
        <v>1</v>
      </c>
      <c r="I218" s="11">
        <v>30.919799999999999</v>
      </c>
      <c r="J218" s="11">
        <v>128.0001</v>
      </c>
      <c r="K218" s="11">
        <v>0.4</v>
      </c>
      <c r="L218" s="15">
        <f t="shared" si="3"/>
        <v>9.6255555555555556</v>
      </c>
      <c r="M218" s="14">
        <f>IF(Tabla15[[#This Row],[COMBUSTIBLE]]="PETRÓLEO",L218*$Q$2,L218*$Q$4)</f>
        <v>11560.292222222222</v>
      </c>
      <c r="N218" s="12" t="str">
        <f>IF(OR(WEEKDAY(Tabla15[[#This Row],[Fecha]],2)=6,WEEKDAY(Tabla15[[#This Row],[Fecha]],2)=7),"Fin de semana","Semana")</f>
        <v>Semana</v>
      </c>
    </row>
    <row r="219" spans="1:14" ht="12.75" customHeight="1" x14ac:dyDescent="0.25">
      <c r="A219" s="11" t="str">
        <f>_xlfn.XLOOKUP(Tabla15[[#This Row],[GPS]],Hoja3!A:A,Hoja3!B:B)</f>
        <v>TRACTOR</v>
      </c>
      <c r="B219" s="11" t="str">
        <f>_xlfn.XLOOKUP(GPS!D219,Hoja3!A:A,Hoja3!D:D)</f>
        <v>PETRÓLEO</v>
      </c>
      <c r="C219" s="12" t="str">
        <f>_xlfn.XLOOKUP(Tabla15[[#This Row],[GPS]],Hoja3!A:A,Hoja3!C:C)</f>
        <v>T4</v>
      </c>
      <c r="D219" s="12" t="s">
        <v>23</v>
      </c>
      <c r="E219" s="13">
        <v>46126</v>
      </c>
      <c r="F219" s="11">
        <v>3.2197</v>
      </c>
      <c r="G219" s="11">
        <v>31.86</v>
      </c>
      <c r="H219" s="11">
        <v>1</v>
      </c>
      <c r="I219" s="11">
        <v>9.9293999999999993</v>
      </c>
      <c r="J219" s="11">
        <v>31.243200000000002</v>
      </c>
      <c r="K219" s="11">
        <v>0.4</v>
      </c>
      <c r="L219" s="15">
        <f t="shared" si="3"/>
        <v>5.31</v>
      </c>
      <c r="M219" s="14">
        <f>IF(Tabla15[[#This Row],[COMBUSTIBLE]]="PETRÓLEO",L219*$Q$2,L219*$Q$4)</f>
        <v>6377.3099999999995</v>
      </c>
      <c r="N219" s="12" t="str">
        <f>IF(OR(WEEKDAY(Tabla15[[#This Row],[Fecha]],2)=6,WEEKDAY(Tabla15[[#This Row],[Fecha]],2)=7),"Fin de semana","Semana")</f>
        <v>Semana</v>
      </c>
    </row>
    <row r="220" spans="1:14" ht="12.75" customHeight="1" x14ac:dyDescent="0.25">
      <c r="A220" s="11" t="str">
        <f>_xlfn.XLOOKUP(Tabla15[[#This Row],[GPS]],Hoja3!A:A,Hoja3!B:B)</f>
        <v>TRACTOR</v>
      </c>
      <c r="B220" s="11" t="str">
        <f>_xlfn.XLOOKUP(GPS!D220,Hoja3!A:A,Hoja3!D:D)</f>
        <v>PETRÓLEO</v>
      </c>
      <c r="C220" s="12" t="str">
        <f>_xlfn.XLOOKUP(Tabla15[[#This Row],[GPS]],Hoja3!A:A,Hoja3!C:C)</f>
        <v>T10</v>
      </c>
      <c r="D220" s="12" t="s">
        <v>14</v>
      </c>
      <c r="E220" s="13">
        <v>46125</v>
      </c>
      <c r="F220" s="11">
        <v>2.8267000000000002</v>
      </c>
      <c r="G220" s="11">
        <v>17.11</v>
      </c>
      <c r="H220" s="11">
        <v>1</v>
      </c>
      <c r="I220" s="11">
        <v>8.0149000000000008</v>
      </c>
      <c r="J220" s="11">
        <v>26.890999999999998</v>
      </c>
      <c r="K220" s="11">
        <v>0.35</v>
      </c>
      <c r="L220" s="15">
        <f t="shared" si="3"/>
        <v>2.8516666666666666</v>
      </c>
      <c r="M220" s="14">
        <f>IF(Tabla15[[#This Row],[COMBUSTIBLE]]="PETRÓLEO",L220*$Q$2,L220*$Q$4)</f>
        <v>3424.8516666666665</v>
      </c>
      <c r="N220" s="12" t="str">
        <f>IF(OR(WEEKDAY(Tabla15[[#This Row],[Fecha]],2)=6,WEEKDAY(Tabla15[[#This Row],[Fecha]],2)=7),"Fin de semana","Semana")</f>
        <v>Semana</v>
      </c>
    </row>
    <row r="221" spans="1:14" ht="12.75" customHeight="1" x14ac:dyDescent="0.25">
      <c r="A221" s="11" t="str">
        <f>_xlfn.XLOOKUP(Tabla15[[#This Row],[GPS]],Hoja3!A:A,Hoja3!B:B)</f>
        <v>TRACTOR</v>
      </c>
      <c r="B221" s="11" t="str">
        <f>_xlfn.XLOOKUP(GPS!D221,Hoja3!A:A,Hoja3!D:D)</f>
        <v>PETRÓLEO</v>
      </c>
      <c r="C221" s="12" t="str">
        <f>_xlfn.XLOOKUP(Tabla15[[#This Row],[GPS]],Hoja3!A:A,Hoja3!C:C)</f>
        <v>T6</v>
      </c>
      <c r="D221" s="12" t="s">
        <v>25</v>
      </c>
      <c r="E221" s="13">
        <v>46126</v>
      </c>
      <c r="F221" s="11">
        <v>2.3990999999999998</v>
      </c>
      <c r="G221" s="11">
        <v>5.69</v>
      </c>
      <c r="H221" s="11">
        <v>1</v>
      </c>
      <c r="I221" s="11">
        <v>10.162100000000001</v>
      </c>
      <c r="J221" s="11">
        <v>66.542400000000001</v>
      </c>
      <c r="K221" s="11">
        <v>0.3</v>
      </c>
      <c r="L221" s="15">
        <f t="shared" si="3"/>
        <v>0.94833333333333336</v>
      </c>
      <c r="M221" s="14">
        <f>IF(Tabla15[[#This Row],[COMBUSTIBLE]]="PETRÓLEO",L221*$Q$2,L221*$Q$4)</f>
        <v>1138.9483333333333</v>
      </c>
      <c r="N221" s="12" t="str">
        <f>IF(OR(WEEKDAY(Tabla15[[#This Row],[Fecha]],2)=6,WEEKDAY(Tabla15[[#This Row],[Fecha]],2)=7),"Fin de semana","Semana")</f>
        <v>Semana</v>
      </c>
    </row>
    <row r="222" spans="1:14" ht="12.75" customHeight="1" x14ac:dyDescent="0.25">
      <c r="A222" s="11" t="str">
        <f>_xlfn.XLOOKUP(Tabla15[[#This Row],[GPS]],Hoja3!A:A,Hoja3!B:B)</f>
        <v>TRACTOR</v>
      </c>
      <c r="B222" s="11" t="str">
        <f>_xlfn.XLOOKUP(GPS!D222,Hoja3!A:A,Hoja3!D:D)</f>
        <v>PETRÓLEO</v>
      </c>
      <c r="C222" s="12" t="str">
        <f>_xlfn.XLOOKUP(Tabla15[[#This Row],[GPS]],Hoja3!A:A,Hoja3!C:C)</f>
        <v>T10</v>
      </c>
      <c r="D222" s="12" t="s">
        <v>14</v>
      </c>
      <c r="E222" s="13">
        <v>46126</v>
      </c>
      <c r="F222" s="11">
        <v>1.9533</v>
      </c>
      <c r="G222" s="11">
        <v>10.82</v>
      </c>
      <c r="H222" s="11">
        <v>1</v>
      </c>
      <c r="I222" s="11">
        <v>9.4289000000000005</v>
      </c>
      <c r="J222" s="11">
        <v>160.7166</v>
      </c>
      <c r="K222" s="11">
        <v>0.24</v>
      </c>
      <c r="L222" s="15">
        <f t="shared" si="3"/>
        <v>1.8033333333333335</v>
      </c>
      <c r="M222" s="14">
        <f>IF(Tabla15[[#This Row],[COMBUSTIBLE]]="PETRÓLEO",L222*$Q$2,L222*$Q$4)</f>
        <v>2165.8033333333333</v>
      </c>
      <c r="N222" s="12" t="str">
        <f>IF(OR(WEEKDAY(Tabla15[[#This Row],[Fecha]],2)=6,WEEKDAY(Tabla15[[#This Row],[Fecha]],2)=7),"Fin de semana","Semana")</f>
        <v>Semana</v>
      </c>
    </row>
    <row r="223" spans="1:14" ht="12.75" customHeight="1" x14ac:dyDescent="0.25">
      <c r="A223" s="11" t="str">
        <f>_xlfn.XLOOKUP(Tabla15[[#This Row],[GPS]],Hoja3!A:A,Hoja3!B:B)</f>
        <v>TRACTOR</v>
      </c>
      <c r="B223" s="11" t="str">
        <f>_xlfn.XLOOKUP(GPS!D223,Hoja3!A:A,Hoja3!D:D)</f>
        <v>PETRÓLEO</v>
      </c>
      <c r="C223" s="12" t="str">
        <f>_xlfn.XLOOKUP(Tabla15[[#This Row],[GPS]],Hoja3!A:A,Hoja3!C:C)</f>
        <v>T4</v>
      </c>
      <c r="D223" s="12" t="s">
        <v>23</v>
      </c>
      <c r="E223" s="13">
        <v>46125</v>
      </c>
      <c r="F223" s="11">
        <v>1.7185999999999999</v>
      </c>
      <c r="G223" s="11">
        <v>4.8899999999999997</v>
      </c>
      <c r="H223" s="11">
        <v>1</v>
      </c>
      <c r="I223" s="11">
        <v>5.8422999999999998</v>
      </c>
      <c r="J223" s="11">
        <v>73.098399999999998</v>
      </c>
      <c r="K223" s="11">
        <v>0.21</v>
      </c>
      <c r="L223" s="15">
        <f t="shared" si="3"/>
        <v>0.81499999999999995</v>
      </c>
      <c r="M223" s="14">
        <f>IF(Tabla15[[#This Row],[COMBUSTIBLE]]="PETRÓLEO",L223*$Q$2,L223*$Q$4)</f>
        <v>978.81499999999994</v>
      </c>
      <c r="N223" s="12" t="str">
        <f>IF(OR(WEEKDAY(Tabla15[[#This Row],[Fecha]],2)=6,WEEKDAY(Tabla15[[#This Row],[Fecha]],2)=7),"Fin de semana","Semana")</f>
        <v>Semana</v>
      </c>
    </row>
    <row r="224" spans="1:14" ht="12.75" customHeight="1" x14ac:dyDescent="0.25">
      <c r="A224" s="11" t="str">
        <f>_xlfn.XLOOKUP(Tabla15[[#This Row],[GPS]],Hoja3!A:A,Hoja3!B:B)</f>
        <v>CAMIONETA</v>
      </c>
      <c r="B224" s="11" t="str">
        <f>_xlfn.XLOOKUP(GPS!D224,Hoja3!A:A,Hoja3!D:D)</f>
        <v>PETRÓLEO</v>
      </c>
      <c r="C224" s="12" t="str">
        <f>_xlfn.XLOOKUP(Tabla15[[#This Row],[GPS]],Hoja3!A:A,Hoja3!C:C)</f>
        <v>CAMPO RULO</v>
      </c>
      <c r="D224" s="12" t="s">
        <v>135</v>
      </c>
      <c r="E224" s="13">
        <v>46125</v>
      </c>
      <c r="F224" s="11">
        <v>1.6863999999999999</v>
      </c>
      <c r="G224" s="11">
        <v>27.9</v>
      </c>
      <c r="H224" s="11">
        <v>1</v>
      </c>
      <c r="I224" s="11">
        <v>23.505199999999999</v>
      </c>
      <c r="J224" s="11">
        <v>99</v>
      </c>
      <c r="K224" s="11">
        <v>0.21</v>
      </c>
      <c r="L224" s="15">
        <f t="shared" si="3"/>
        <v>3.0999999999999996</v>
      </c>
      <c r="M224" s="14">
        <f>IF(Tabla15[[#This Row],[COMBUSTIBLE]]="PETRÓLEO",L224*$Q$2,L224*$Q$4)</f>
        <v>3723.0999999999995</v>
      </c>
      <c r="N224" s="12" t="str">
        <f>IF(OR(WEEKDAY(Tabla15[[#This Row],[Fecha]],2)=6,WEEKDAY(Tabla15[[#This Row],[Fecha]],2)=7),"Fin de semana","Semana")</f>
        <v>Semana</v>
      </c>
    </row>
    <row r="225" spans="1:14" ht="12.75" customHeight="1" x14ac:dyDescent="0.25">
      <c r="A225" s="11" t="str">
        <f>_xlfn.XLOOKUP(Tabla15[[#This Row],[GPS]],Hoja3!A:A,Hoja3!B:B)</f>
        <v>CAMIONETA</v>
      </c>
      <c r="B225" s="11" t="str">
        <f>_xlfn.XLOOKUP(GPS!D225,Hoja3!A:A,Hoja3!D:D)</f>
        <v>PETRÓLEO</v>
      </c>
      <c r="C225" s="12" t="str">
        <f>_xlfn.XLOOKUP(Tabla15[[#This Row],[GPS]],Hoja3!A:A,Hoja3!C:C)</f>
        <v>GONZALO GUERRERO</v>
      </c>
      <c r="D225" s="12" t="s">
        <v>126</v>
      </c>
      <c r="E225" s="13">
        <v>46126</v>
      </c>
      <c r="F225" s="11">
        <v>1.4863999999999999</v>
      </c>
      <c r="G225" s="11">
        <v>43.3</v>
      </c>
      <c r="H225" s="11">
        <v>1</v>
      </c>
      <c r="I225" s="11">
        <v>43.944600000000001</v>
      </c>
      <c r="J225" s="11">
        <v>145.77090000000001</v>
      </c>
      <c r="K225" s="11">
        <v>0.19</v>
      </c>
      <c r="L225" s="15">
        <f t="shared" si="3"/>
        <v>4.8111111111111109</v>
      </c>
      <c r="M225" s="14">
        <f>IF(Tabla15[[#This Row],[COMBUSTIBLE]]="PETRÓLEO",L225*$Q$2,L225*$Q$4)</f>
        <v>5778.1444444444442</v>
      </c>
      <c r="N225" s="12" t="str">
        <f>IF(OR(WEEKDAY(Tabla15[[#This Row],[Fecha]],2)=6,WEEKDAY(Tabla15[[#This Row],[Fecha]],2)=7),"Fin de semana","Semana")</f>
        <v>Semana</v>
      </c>
    </row>
    <row r="226" spans="1:14" ht="12.75" customHeight="1" x14ac:dyDescent="0.25">
      <c r="A226" s="11" t="str">
        <f>_xlfn.XLOOKUP(Tabla15[[#This Row],[GPS]],Hoja3!A:A,Hoja3!B:B)</f>
        <v>TRACTOR</v>
      </c>
      <c r="B226" s="11" t="str">
        <f>_xlfn.XLOOKUP(GPS!D226,Hoja3!A:A,Hoja3!D:D)</f>
        <v>PETRÓLEO</v>
      </c>
      <c r="C226" s="12" t="str">
        <f>_xlfn.XLOOKUP(Tabla15[[#This Row],[GPS]],Hoja3!A:A,Hoja3!C:C)</f>
        <v>T8</v>
      </c>
      <c r="D226" s="12" t="s">
        <v>27</v>
      </c>
      <c r="E226" s="13">
        <v>46125</v>
      </c>
      <c r="F226" s="11">
        <v>1.3896999999999999</v>
      </c>
      <c r="G226" s="11">
        <v>14.15</v>
      </c>
      <c r="H226" s="11">
        <v>1</v>
      </c>
      <c r="I226" s="11">
        <v>14.232799999999999</v>
      </c>
      <c r="J226" s="11">
        <v>66.412700000000001</v>
      </c>
      <c r="K226" s="11">
        <v>0.17</v>
      </c>
      <c r="L226" s="15">
        <f t="shared" si="3"/>
        <v>2.3583333333333334</v>
      </c>
      <c r="M226" s="14">
        <f>IF(Tabla15[[#This Row],[COMBUSTIBLE]]="PETRÓLEO",L226*$Q$2,L226*$Q$4)</f>
        <v>2832.3583333333336</v>
      </c>
      <c r="N226" s="12" t="str">
        <f>IF(OR(WEEKDAY(Tabla15[[#This Row],[Fecha]],2)=6,WEEKDAY(Tabla15[[#This Row],[Fecha]],2)=7),"Fin de semana","Semana")</f>
        <v>Semana</v>
      </c>
    </row>
    <row r="227" spans="1:14" ht="12.75" customHeight="1" x14ac:dyDescent="0.25">
      <c r="A227" s="11" t="str">
        <f>_xlfn.XLOOKUP(Tabla15[[#This Row],[GPS]],Hoja3!A:A,Hoja3!B:B)</f>
        <v>CAMIONETA</v>
      </c>
      <c r="B227" s="11" t="str">
        <f>_xlfn.XLOOKUP(GPS!D227,Hoja3!A:A,Hoja3!D:D)</f>
        <v>PETRÓLEO</v>
      </c>
      <c r="C227" s="12" t="str">
        <f>_xlfn.XLOOKUP(Tabla15[[#This Row],[GPS]],Hoja3!A:A,Hoja3!C:C)</f>
        <v>CAMPO RULO</v>
      </c>
      <c r="D227" s="12" t="s">
        <v>135</v>
      </c>
      <c r="E227" s="13">
        <v>46126</v>
      </c>
      <c r="F227" s="11">
        <v>1.1472</v>
      </c>
      <c r="G227" s="11">
        <v>24.57</v>
      </c>
      <c r="H227" s="11">
        <v>1</v>
      </c>
      <c r="I227" s="11">
        <v>38.923999999999999</v>
      </c>
      <c r="J227" s="11">
        <v>90</v>
      </c>
      <c r="K227" s="11">
        <v>0.14000000000000001</v>
      </c>
      <c r="L227" s="15">
        <f t="shared" si="3"/>
        <v>2.73</v>
      </c>
      <c r="M227" s="14">
        <f>IF(Tabla15[[#This Row],[COMBUSTIBLE]]="PETRÓLEO",L227*$Q$2,L227*$Q$4)</f>
        <v>3278.73</v>
      </c>
      <c r="N227" s="12" t="str">
        <f>IF(OR(WEEKDAY(Tabla15[[#This Row],[Fecha]],2)=6,WEEKDAY(Tabla15[[#This Row],[Fecha]],2)=7),"Fin de semana","Semana")</f>
        <v>Semana</v>
      </c>
    </row>
    <row r="228" spans="1:14" ht="12.75" customHeight="1" x14ac:dyDescent="0.25">
      <c r="A228" s="11" t="str">
        <f>_xlfn.XLOOKUP(Tabla15[[#This Row],[GPS]],Hoja3!A:A,Hoja3!B:B)</f>
        <v>TRACTOR</v>
      </c>
      <c r="B228" s="11" t="str">
        <f>_xlfn.XLOOKUP(GPS!D228,Hoja3!A:A,Hoja3!D:D)</f>
        <v>PETRÓLEO</v>
      </c>
      <c r="C228" s="12" t="str">
        <f>_xlfn.XLOOKUP(Tabla15[[#This Row],[GPS]],Hoja3!A:A,Hoja3!C:C)</f>
        <v>T8</v>
      </c>
      <c r="D228" s="12" t="s">
        <v>27</v>
      </c>
      <c r="E228" s="13">
        <v>46126</v>
      </c>
      <c r="F228" s="11">
        <v>0.36370000000000002</v>
      </c>
      <c r="G228" s="11">
        <v>3.8</v>
      </c>
      <c r="H228" s="11">
        <v>1</v>
      </c>
      <c r="I228" s="11">
        <v>9.0920000000000005</v>
      </c>
      <c r="J228" s="11">
        <v>28.8171</v>
      </c>
      <c r="K228" s="11">
        <v>0.05</v>
      </c>
      <c r="L228" s="15">
        <f t="shared" si="3"/>
        <v>0.6333333333333333</v>
      </c>
      <c r="M228" s="14">
        <f>IF(Tabla15[[#This Row],[COMBUSTIBLE]]="PETRÓLEO",L228*$Q$2,L228*$Q$4)</f>
        <v>760.63333333333333</v>
      </c>
      <c r="N228" s="12" t="str">
        <f>IF(OR(WEEKDAY(Tabla15[[#This Row],[Fecha]],2)=6,WEEKDAY(Tabla15[[#This Row],[Fecha]],2)=7),"Fin de semana","Semana")</f>
        <v>Semana</v>
      </c>
    </row>
    <row r="229" spans="1:14" ht="12.75" customHeight="1" x14ac:dyDescent="0.25">
      <c r="A229" s="11" t="str">
        <f>_xlfn.XLOOKUP(Tabla15[[#This Row],[GPS]],Hoja3!A:A,Hoja3!B:B)</f>
        <v>TRACTOR</v>
      </c>
      <c r="B229" s="11" t="str">
        <f>_xlfn.XLOOKUP(GPS!D229,Hoja3!A:A,Hoja3!D:D)</f>
        <v>PETRÓLEO</v>
      </c>
      <c r="C229" s="12" t="str">
        <f>_xlfn.XLOOKUP(Tabla15[[#This Row],[GPS]],Hoja3!A:A,Hoja3!C:C)</f>
        <v>T11</v>
      </c>
      <c r="D229" s="12" t="s">
        <v>15</v>
      </c>
      <c r="E229" s="13">
        <v>46126</v>
      </c>
      <c r="F229" s="11">
        <v>0.15859999999999999</v>
      </c>
      <c r="G229" s="11">
        <v>0.2</v>
      </c>
      <c r="H229" s="11">
        <v>0</v>
      </c>
      <c r="I229" s="11">
        <v>3.3479999999999999</v>
      </c>
      <c r="J229" s="11">
        <v>14.1678</v>
      </c>
      <c r="K229" s="11">
        <v>0.02</v>
      </c>
      <c r="L229" s="15">
        <f t="shared" si="3"/>
        <v>3.3333333333333333E-2</v>
      </c>
      <c r="M229" s="14">
        <f>IF(Tabla15[[#This Row],[COMBUSTIBLE]]="PETRÓLEO",L229*$Q$2,L229*$Q$4)</f>
        <v>40.033333333333331</v>
      </c>
      <c r="N229" s="12" t="str">
        <f>IF(OR(WEEKDAY(Tabla15[[#This Row],[Fecha]],2)=6,WEEKDAY(Tabla15[[#This Row],[Fecha]],2)=7),"Fin de semana","Semana")</f>
        <v>Semana</v>
      </c>
    </row>
    <row r="230" spans="1:14" ht="12.75" customHeight="1" x14ac:dyDescent="0.25">
      <c r="A230" s="11" t="str">
        <f>_xlfn.XLOOKUP(Tabla15[[#This Row],[GPS]],Hoja3!A:A,Hoja3!B:B)</f>
        <v>CAMIONETA</v>
      </c>
      <c r="B230" s="11" t="str">
        <f>_xlfn.XLOOKUP(GPS!D230,Hoja3!A:A,Hoja3!D:D)</f>
        <v>BENCINA</v>
      </c>
      <c r="C230" s="12" t="str">
        <f>_xlfn.XLOOKUP(Tabla15[[#This Row],[GPS]],Hoja3!A:A,Hoja3!C:C)</f>
        <v>VG CERRILLOS</v>
      </c>
      <c r="D230" s="12" t="s">
        <v>137</v>
      </c>
      <c r="E230" s="13">
        <v>46125</v>
      </c>
      <c r="F230" s="11">
        <v>0</v>
      </c>
      <c r="G230" s="11">
        <v>25.11</v>
      </c>
      <c r="H230" s="11">
        <v>1</v>
      </c>
      <c r="I230" s="11">
        <v>14.661099999999999</v>
      </c>
      <c r="J230" s="11">
        <v>41.651499999999999</v>
      </c>
      <c r="K230" s="11">
        <v>0</v>
      </c>
      <c r="L230" s="15">
        <f t="shared" si="3"/>
        <v>2.2827272727272727</v>
      </c>
      <c r="M230" s="14">
        <f>IF(Tabla15[[#This Row],[COMBUSTIBLE]]="PETRÓLEO",L230*$Q$2,L230*$Q$4)</f>
        <v>3538.2272727272725</v>
      </c>
      <c r="N230" s="12" t="str">
        <f>IF(OR(WEEKDAY(Tabla15[[#This Row],[Fecha]],2)=6,WEEKDAY(Tabla15[[#This Row],[Fecha]],2)=7),"Fin de semana","Semana")</f>
        <v>Semana</v>
      </c>
    </row>
    <row r="231" spans="1:14" ht="12.75" customHeight="1" x14ac:dyDescent="0.25">
      <c r="A231" s="11" t="str">
        <f>_xlfn.XLOOKUP(Tabla15[[#This Row],[GPS]],Hoja3!A:A,Hoja3!B:B)</f>
        <v>CAMIONETA</v>
      </c>
      <c r="B231" s="11" t="str">
        <f>_xlfn.XLOOKUP(GPS!D231,Hoja3!A:A,Hoja3!D:D)</f>
        <v>BENCINA</v>
      </c>
      <c r="C231" s="12" t="str">
        <f>_xlfn.XLOOKUP(Tabla15[[#This Row],[GPS]],Hoja3!A:A,Hoja3!C:C)</f>
        <v>VG PIÑALEO</v>
      </c>
      <c r="D231" s="12" t="s">
        <v>114</v>
      </c>
      <c r="E231" s="13">
        <v>46125</v>
      </c>
      <c r="F231" s="11">
        <v>0</v>
      </c>
      <c r="G231" s="11">
        <v>87.43</v>
      </c>
      <c r="H231" s="11">
        <v>1</v>
      </c>
      <c r="I231" s="11">
        <v>33.286299999999997</v>
      </c>
      <c r="J231" s="11">
        <v>141.43719999999999</v>
      </c>
      <c r="K231" s="11">
        <v>0</v>
      </c>
      <c r="L231" s="15">
        <f t="shared" si="3"/>
        <v>7.9481818181818191</v>
      </c>
      <c r="M231" s="14">
        <f>IF(Tabla15[[#This Row],[COMBUSTIBLE]]="PETRÓLEO",L231*$Q$2,L231*$Q$4)</f>
        <v>12319.68181818182</v>
      </c>
      <c r="N231" s="12" t="str">
        <f>IF(OR(WEEKDAY(Tabla15[[#This Row],[Fecha]],2)=6,WEEKDAY(Tabla15[[#This Row],[Fecha]],2)=7),"Fin de semana","Semana")</f>
        <v>Semana</v>
      </c>
    </row>
    <row r="232" spans="1:14" ht="12.75" customHeight="1" x14ac:dyDescent="0.25">
      <c r="A232" s="11" t="str">
        <f>_xlfn.XLOOKUP(Tabla15[[#This Row],[GPS]],Hoja3!A:A,Hoja3!B:B)</f>
        <v>CAMIONETA</v>
      </c>
      <c r="B232" s="11" t="str">
        <f>_xlfn.XLOOKUP(GPS!D232,Hoja3!A:A,Hoja3!D:D)</f>
        <v>PETRÓLEO</v>
      </c>
      <c r="C232" s="12" t="str">
        <f>_xlfn.XLOOKUP(Tabla15[[#This Row],[GPS]],Hoja3!A:A,Hoja3!C:C)</f>
        <v>SERGIO ROJAS</v>
      </c>
      <c r="D232" s="12" t="s">
        <v>128</v>
      </c>
      <c r="E232" s="13">
        <v>46125</v>
      </c>
      <c r="F232" s="11">
        <v>0</v>
      </c>
      <c r="G232" s="11">
        <v>48.47</v>
      </c>
      <c r="H232" s="11">
        <v>1</v>
      </c>
      <c r="I232" s="11">
        <v>22.9267</v>
      </c>
      <c r="J232" s="11">
        <v>82.000100000000003</v>
      </c>
      <c r="K232" s="11">
        <v>0</v>
      </c>
      <c r="L232" s="15">
        <f t="shared" si="3"/>
        <v>5.3855555555555554</v>
      </c>
      <c r="M232" s="14">
        <f>IF(Tabla15[[#This Row],[COMBUSTIBLE]]="PETRÓLEO",L232*$Q$2,L232*$Q$4)</f>
        <v>6468.0522222222216</v>
      </c>
      <c r="N232" s="12" t="str">
        <f>IF(OR(WEEKDAY(Tabla15[[#This Row],[Fecha]],2)=6,WEEKDAY(Tabla15[[#This Row],[Fecha]],2)=7),"Fin de semana","Semana")</f>
        <v>Semana</v>
      </c>
    </row>
    <row r="233" spans="1:14" ht="12.75" customHeight="1" x14ac:dyDescent="0.25">
      <c r="A233" s="11" t="str">
        <f>_xlfn.XLOOKUP(Tabla15[[#This Row],[GPS]],Hoja3!A:A,Hoja3!B:B)</f>
        <v>CAMIONETA</v>
      </c>
      <c r="B233" s="11" t="str">
        <f>_xlfn.XLOOKUP(GPS!D233,Hoja3!A:A,Hoja3!D:D)</f>
        <v>BENCINA</v>
      </c>
      <c r="C233" s="12" t="str">
        <f>_xlfn.XLOOKUP(Tabla15[[#This Row],[GPS]],Hoja3!A:A,Hoja3!C:C)</f>
        <v>VG PIÑALEO</v>
      </c>
      <c r="D233" s="12" t="s">
        <v>114</v>
      </c>
      <c r="E233" s="13">
        <v>46126</v>
      </c>
      <c r="F233" s="11">
        <v>0</v>
      </c>
      <c r="G233" s="11">
        <v>101.68</v>
      </c>
      <c r="H233" s="11">
        <v>1</v>
      </c>
      <c r="I233" s="11">
        <v>45.6614</v>
      </c>
      <c r="J233" s="11">
        <v>113</v>
      </c>
      <c r="K233" s="11">
        <v>0</v>
      </c>
      <c r="L233" s="15">
        <f t="shared" si="3"/>
        <v>9.2436363636363641</v>
      </c>
      <c r="M233" s="14">
        <f>IF(Tabla15[[#This Row],[COMBUSTIBLE]]="PETRÓLEO",L233*$Q$2,L233*$Q$4)</f>
        <v>14327.636363636364</v>
      </c>
      <c r="N233" s="12" t="str">
        <f>IF(OR(WEEKDAY(Tabla15[[#This Row],[Fecha]],2)=6,WEEKDAY(Tabla15[[#This Row],[Fecha]],2)=7),"Fin de semana","Semana")</f>
        <v>Semana</v>
      </c>
    </row>
    <row r="234" spans="1:14" ht="12.75" customHeight="1" x14ac:dyDescent="0.25">
      <c r="A234" s="11" t="str">
        <f>_xlfn.XLOOKUP(Tabla15[[#This Row],[GPS]],Hoja3!A:A,Hoja3!B:B)</f>
        <v>CAMIONETA</v>
      </c>
      <c r="B234" s="11" t="str">
        <f>_xlfn.XLOOKUP(GPS!D234,Hoja3!A:A,Hoja3!D:D)</f>
        <v>BENCINA</v>
      </c>
      <c r="C234" s="12" t="str">
        <f>_xlfn.XLOOKUP(Tabla15[[#This Row],[GPS]],Hoja3!A:A,Hoja3!C:C)</f>
        <v>VG GERARDO</v>
      </c>
      <c r="D234" s="12" t="s">
        <v>118</v>
      </c>
      <c r="E234" s="13">
        <v>46126</v>
      </c>
      <c r="F234" s="11">
        <v>0</v>
      </c>
      <c r="G234" s="11">
        <v>53.91</v>
      </c>
      <c r="H234" s="11">
        <v>1</v>
      </c>
      <c r="I234" s="11">
        <v>6.9454000000000002</v>
      </c>
      <c r="J234" s="11">
        <v>97.767099999999999</v>
      </c>
      <c r="K234" s="11">
        <v>0</v>
      </c>
      <c r="L234" s="15">
        <f t="shared" si="3"/>
        <v>4.9009090909090904</v>
      </c>
      <c r="M234" s="14">
        <f>IF(Tabla15[[#This Row],[COMBUSTIBLE]]="PETRÓLEO",L234*$Q$2,L234*$Q$4)</f>
        <v>7596.4090909090901</v>
      </c>
      <c r="N234" s="12" t="str">
        <f>IF(OR(WEEKDAY(Tabla15[[#This Row],[Fecha]],2)=6,WEEKDAY(Tabla15[[#This Row],[Fecha]],2)=7),"Fin de semana","Semana")</f>
        <v>Semana</v>
      </c>
    </row>
    <row r="235" spans="1:14" ht="12.75" customHeight="1" x14ac:dyDescent="0.25">
      <c r="A235" s="11" t="str">
        <f>_xlfn.XLOOKUP(Tabla15[[#This Row],[GPS]],Hoja3!A:A,Hoja3!B:B)</f>
        <v>CAMIONETA</v>
      </c>
      <c r="B235" s="11" t="str">
        <f>_xlfn.XLOOKUP(GPS!D235,Hoja3!A:A,Hoja3!D:D)</f>
        <v>BENCINA</v>
      </c>
      <c r="C235" s="12" t="str">
        <f>_xlfn.XLOOKUP(Tabla15[[#This Row],[GPS]],Hoja3!A:A,Hoja3!C:C)</f>
        <v>VG GERARDO</v>
      </c>
      <c r="D235" s="12" t="s">
        <v>118</v>
      </c>
      <c r="E235" s="13">
        <v>46125</v>
      </c>
      <c r="F235" s="11">
        <v>0</v>
      </c>
      <c r="G235" s="11">
        <v>64.48</v>
      </c>
      <c r="H235" s="11">
        <v>1</v>
      </c>
      <c r="I235" s="11">
        <v>31.067399999999999</v>
      </c>
      <c r="J235" s="11">
        <v>104.4713</v>
      </c>
      <c r="K235" s="11">
        <v>0</v>
      </c>
      <c r="L235" s="15">
        <f t="shared" si="3"/>
        <v>5.8618181818181823</v>
      </c>
      <c r="M235" s="14">
        <f>IF(Tabla15[[#This Row],[COMBUSTIBLE]]="PETRÓLEO",L235*$Q$2,L235*$Q$4)</f>
        <v>9085.818181818182</v>
      </c>
      <c r="N235" s="12" t="str">
        <f>IF(OR(WEEKDAY(Tabla15[[#This Row],[Fecha]],2)=6,WEEKDAY(Tabla15[[#This Row],[Fecha]],2)=7),"Fin de semana","Semana")</f>
        <v>Semana</v>
      </c>
    </row>
    <row r="236" spans="1:14" ht="12.75" customHeight="1" x14ac:dyDescent="0.25">
      <c r="A236" s="11" t="str">
        <f>_xlfn.XLOOKUP(Tabla15[[#This Row],[GPS]],Hoja3!A:A,Hoja3!B:B)</f>
        <v>CAMIONETA</v>
      </c>
      <c r="B236" s="11" t="str">
        <f>_xlfn.XLOOKUP(GPS!D236,Hoja3!A:A,Hoja3!D:D)</f>
        <v>BENCINA</v>
      </c>
      <c r="C236" s="12" t="str">
        <f>_xlfn.XLOOKUP(Tabla15[[#This Row],[GPS]],Hoja3!A:A,Hoja3!C:C)</f>
        <v>VG CERRILLOS</v>
      </c>
      <c r="D236" s="12" t="s">
        <v>137</v>
      </c>
      <c r="E236" s="13">
        <v>46126</v>
      </c>
      <c r="F236" s="11">
        <v>0</v>
      </c>
      <c r="G236" s="11">
        <v>24.44</v>
      </c>
      <c r="H236" s="11">
        <v>1</v>
      </c>
      <c r="I236" s="11">
        <v>19.616299999999999</v>
      </c>
      <c r="J236" s="11">
        <v>45.040599999999998</v>
      </c>
      <c r="K236" s="11">
        <v>0</v>
      </c>
      <c r="L236" s="15">
        <f t="shared" si="3"/>
        <v>2.2218181818181821</v>
      </c>
      <c r="M236" s="14">
        <f>IF(Tabla15[[#This Row],[COMBUSTIBLE]]="PETRÓLEO",L236*$Q$2,L236*$Q$4)</f>
        <v>3443.8181818181824</v>
      </c>
      <c r="N236" s="12" t="str">
        <f>IF(OR(WEEKDAY(Tabla15[[#This Row],[Fecha]],2)=6,WEEKDAY(Tabla15[[#This Row],[Fecha]],2)=7),"Fin de semana","Semana")</f>
        <v>Semana</v>
      </c>
    </row>
    <row r="237" spans="1:14" ht="12.75" customHeight="1" x14ac:dyDescent="0.25">
      <c r="A237" s="11" t="str">
        <f>_xlfn.XLOOKUP(Tabla15[[#This Row],[GPS]],Hoja3!A:A,Hoja3!B:B)</f>
        <v>CAMIONETA</v>
      </c>
      <c r="B237" s="11" t="str">
        <f>_xlfn.XLOOKUP(GPS!D237,Hoja3!A:A,Hoja3!D:D)</f>
        <v>PETRÓLEO</v>
      </c>
      <c r="C237" s="12" t="str">
        <f>_xlfn.XLOOKUP(Tabla15[[#This Row],[GPS]],Hoja3!A:A,Hoja3!C:C)</f>
        <v>SERGIO ROJAS</v>
      </c>
      <c r="D237" s="12" t="s">
        <v>128</v>
      </c>
      <c r="E237" s="13">
        <v>46126</v>
      </c>
      <c r="F237" s="11">
        <v>0</v>
      </c>
      <c r="G237" s="11">
        <v>55.89</v>
      </c>
      <c r="H237" s="11">
        <v>1</v>
      </c>
      <c r="I237" s="11">
        <v>22.8203</v>
      </c>
      <c r="J237" s="11">
        <v>81.358400000000003</v>
      </c>
      <c r="K237" s="11">
        <v>0</v>
      </c>
      <c r="L237" s="15">
        <f t="shared" si="3"/>
        <v>6.21</v>
      </c>
      <c r="M237" s="14">
        <f>IF(Tabla15[[#This Row],[COMBUSTIBLE]]="PETRÓLEO",L237*$Q$2,L237*$Q$4)</f>
        <v>7458.21</v>
      </c>
      <c r="N237" s="12" t="str">
        <f>IF(OR(WEEKDAY(Tabla15[[#This Row],[Fecha]],2)=6,WEEKDAY(Tabla15[[#This Row],[Fecha]],2)=7),"Fin de semana","Semana")</f>
        <v>Semana</v>
      </c>
    </row>
    <row r="238" spans="1:14" ht="12.75" customHeight="1" x14ac:dyDescent="0.25">
      <c r="A238" s="11" t="str">
        <f>_xlfn.XLOOKUP(Tabla15[[#This Row],[GPS]],Hoja3!A:A,Hoja3!B:B)</f>
        <v>TRACTOR</v>
      </c>
      <c r="B238" s="11" t="str">
        <f>_xlfn.XLOOKUP(GPS!D238,Hoja3!A:A,Hoja3!D:D)</f>
        <v>PETRÓLEO</v>
      </c>
      <c r="C238" s="12" t="str">
        <f>_xlfn.XLOOKUP(Tabla15[[#This Row],[GPS]],Hoja3!A:A,Hoja3!C:C)</f>
        <v>T13</v>
      </c>
      <c r="D238" s="12" t="s">
        <v>19</v>
      </c>
      <c r="E238" s="13">
        <v>46127</v>
      </c>
      <c r="F238" s="11">
        <v>6.6638999999999999</v>
      </c>
      <c r="G238" s="11">
        <v>23.83</v>
      </c>
      <c r="H238" s="11">
        <v>1</v>
      </c>
      <c r="I238" s="11">
        <v>6.6285999999999996</v>
      </c>
      <c r="J238" s="11">
        <v>66.264600000000002</v>
      </c>
      <c r="K238" s="11">
        <v>0.83</v>
      </c>
      <c r="L238" s="15">
        <f t="shared" si="3"/>
        <v>3.9716666666666662</v>
      </c>
      <c r="M238" s="14">
        <f>IF(Tabla15[[#This Row],[COMBUSTIBLE]]="PETRÓLEO",L238*$Q$2,L238*$Q$4)</f>
        <v>4769.9716666666664</v>
      </c>
      <c r="N238" s="12" t="str">
        <f>IF(OR(WEEKDAY(Tabla15[[#This Row],[Fecha]],2)=6,WEEKDAY(Tabla15[[#This Row],[Fecha]],2)=7),"Fin de semana","Semana")</f>
        <v>Semana</v>
      </c>
    </row>
    <row r="239" spans="1:14" ht="12.75" customHeight="1" x14ac:dyDescent="0.25">
      <c r="A239" s="11" t="str">
        <f>_xlfn.XLOOKUP(Tabla15[[#This Row],[GPS]],Hoja3!A:A,Hoja3!B:B)</f>
        <v>TRACTOR</v>
      </c>
      <c r="B239" s="11" t="str">
        <f>_xlfn.XLOOKUP(GPS!D239,Hoja3!A:A,Hoja3!D:D)</f>
        <v>PETRÓLEO</v>
      </c>
      <c r="C239" s="12" t="str">
        <f>_xlfn.XLOOKUP(Tabla15[[#This Row],[GPS]],Hoja3!A:A,Hoja3!C:C)</f>
        <v>T12</v>
      </c>
      <c r="D239" s="12" t="s">
        <v>17</v>
      </c>
      <c r="E239" s="13">
        <v>46127</v>
      </c>
      <c r="F239" s="11">
        <v>6.1561000000000003</v>
      </c>
      <c r="G239" s="11">
        <v>25.55</v>
      </c>
      <c r="H239" s="11">
        <v>1</v>
      </c>
      <c r="I239" s="11">
        <v>7.7853000000000003</v>
      </c>
      <c r="J239" s="11">
        <v>33.999899999999997</v>
      </c>
      <c r="K239" s="11">
        <v>0.77</v>
      </c>
      <c r="L239" s="15">
        <f t="shared" si="3"/>
        <v>4.2583333333333337</v>
      </c>
      <c r="M239" s="14">
        <f>IF(Tabla15[[#This Row],[COMBUSTIBLE]]="PETRÓLEO",L239*$Q$2,L239*$Q$4)</f>
        <v>5114.2583333333341</v>
      </c>
      <c r="N239" s="12" t="str">
        <f>IF(OR(WEEKDAY(Tabla15[[#This Row],[Fecha]],2)=6,WEEKDAY(Tabla15[[#This Row],[Fecha]],2)=7),"Fin de semana","Semana")</f>
        <v>Semana</v>
      </c>
    </row>
    <row r="240" spans="1:14" ht="12.75" customHeight="1" x14ac:dyDescent="0.25">
      <c r="A240" s="11" t="str">
        <f>_xlfn.XLOOKUP(Tabla15[[#This Row],[GPS]],Hoja3!A:A,Hoja3!B:B)</f>
        <v>TRACTOR</v>
      </c>
      <c r="B240" s="11" t="str">
        <f>_xlfn.XLOOKUP(GPS!D240,Hoja3!A:A,Hoja3!D:D)</f>
        <v>PETRÓLEO</v>
      </c>
      <c r="C240" s="12" t="str">
        <f>_xlfn.XLOOKUP(Tabla15[[#This Row],[GPS]],Hoja3!A:A,Hoja3!C:C)</f>
        <v>T10</v>
      </c>
      <c r="D240" s="12" t="s">
        <v>14</v>
      </c>
      <c r="E240" s="13">
        <v>46127</v>
      </c>
      <c r="F240" s="11">
        <v>5.6044</v>
      </c>
      <c r="G240" s="11">
        <v>51.03</v>
      </c>
      <c r="H240" s="11">
        <v>1</v>
      </c>
      <c r="I240" s="11">
        <v>11.693</v>
      </c>
      <c r="J240" s="11">
        <v>40.244</v>
      </c>
      <c r="K240" s="11">
        <v>0.7</v>
      </c>
      <c r="L240" s="15">
        <f t="shared" si="3"/>
        <v>8.5050000000000008</v>
      </c>
      <c r="M240" s="14">
        <f>IF(Tabla15[[#This Row],[COMBUSTIBLE]]="PETRÓLEO",L240*$Q$2,L240*$Q$4)</f>
        <v>10214.505000000001</v>
      </c>
      <c r="N240" s="12" t="str">
        <f>IF(OR(WEEKDAY(Tabla15[[#This Row],[Fecha]],2)=6,WEEKDAY(Tabla15[[#This Row],[Fecha]],2)=7),"Fin de semana","Semana")</f>
        <v>Semana</v>
      </c>
    </row>
    <row r="241" spans="1:14" ht="12.75" customHeight="1" x14ac:dyDescent="0.25">
      <c r="A241" s="11" t="str">
        <f>_xlfn.XLOOKUP(Tabla15[[#This Row],[GPS]],Hoja3!A:A,Hoja3!B:B)</f>
        <v>CAMIONETA</v>
      </c>
      <c r="B241" s="11" t="str">
        <f>_xlfn.XLOOKUP(GPS!D241,Hoja3!A:A,Hoja3!D:D)</f>
        <v>PETRÓLEO</v>
      </c>
      <c r="C241" s="12" t="str">
        <f>_xlfn.XLOOKUP(Tabla15[[#This Row],[GPS]],Hoja3!A:A,Hoja3!C:C)</f>
        <v>CAMPO CERRILLOS</v>
      </c>
      <c r="D241" s="12" t="s">
        <v>121</v>
      </c>
      <c r="E241" s="13">
        <v>46127</v>
      </c>
      <c r="F241" s="11">
        <v>5.4382999999999999</v>
      </c>
      <c r="G241" s="11">
        <v>46.42</v>
      </c>
      <c r="H241" s="11">
        <v>1</v>
      </c>
      <c r="I241" s="11">
        <v>15.217700000000001</v>
      </c>
      <c r="J241" s="11">
        <v>67.690600000000003</v>
      </c>
      <c r="K241" s="11">
        <v>0.68</v>
      </c>
      <c r="L241" s="15">
        <f t="shared" si="3"/>
        <v>5.1577777777777776</v>
      </c>
      <c r="M241" s="14">
        <f>IF(Tabla15[[#This Row],[COMBUSTIBLE]]="PETRÓLEO",L241*$Q$2,L241*$Q$4)</f>
        <v>6194.4911111111105</v>
      </c>
      <c r="N241" s="12" t="str">
        <f>IF(OR(WEEKDAY(Tabla15[[#This Row],[Fecha]],2)=6,WEEKDAY(Tabla15[[#This Row],[Fecha]],2)=7),"Fin de semana","Semana")</f>
        <v>Semana</v>
      </c>
    </row>
    <row r="242" spans="1:14" ht="12.75" customHeight="1" x14ac:dyDescent="0.25">
      <c r="A242" s="11" t="str">
        <f>_xlfn.XLOOKUP(Tabla15[[#This Row],[GPS]],Hoja3!A:A,Hoja3!B:B)</f>
        <v>TRACTOR</v>
      </c>
      <c r="B242" s="11" t="str">
        <f>_xlfn.XLOOKUP(GPS!D242,Hoja3!A:A,Hoja3!D:D)</f>
        <v>PETRÓLEO</v>
      </c>
      <c r="C242" s="12" t="str">
        <f>_xlfn.XLOOKUP(Tabla15[[#This Row],[GPS]],Hoja3!A:A,Hoja3!C:C)</f>
        <v>T4</v>
      </c>
      <c r="D242" s="12" t="s">
        <v>23</v>
      </c>
      <c r="E242" s="13">
        <v>46127</v>
      </c>
      <c r="F242" s="11">
        <v>4.6757999999999997</v>
      </c>
      <c r="G242" s="11">
        <v>32.42</v>
      </c>
      <c r="H242" s="11">
        <v>1</v>
      </c>
      <c r="I242" s="11">
        <v>8.99</v>
      </c>
      <c r="J242" s="11">
        <v>31.0001</v>
      </c>
      <c r="K242" s="11">
        <v>0.57999999999999996</v>
      </c>
      <c r="L242" s="15">
        <f t="shared" si="3"/>
        <v>5.4033333333333333</v>
      </c>
      <c r="M242" s="14">
        <f>IF(Tabla15[[#This Row],[COMBUSTIBLE]]="PETRÓLEO",L242*$Q$2,L242*$Q$4)</f>
        <v>6489.4033333333336</v>
      </c>
      <c r="N242" s="12" t="str">
        <f>IF(OR(WEEKDAY(Tabla15[[#This Row],[Fecha]],2)=6,WEEKDAY(Tabla15[[#This Row],[Fecha]],2)=7),"Fin de semana","Semana")</f>
        <v>Semana</v>
      </c>
    </row>
    <row r="243" spans="1:14" ht="12.75" customHeight="1" x14ac:dyDescent="0.25">
      <c r="A243" s="11" t="str">
        <f>_xlfn.XLOOKUP(Tabla15[[#This Row],[GPS]],Hoja3!A:A,Hoja3!B:B)</f>
        <v>TRACTOR</v>
      </c>
      <c r="B243" s="11" t="str">
        <f>_xlfn.XLOOKUP(GPS!D243,Hoja3!A:A,Hoja3!D:D)</f>
        <v>PETRÓLEO</v>
      </c>
      <c r="C243" s="12" t="str">
        <f>_xlfn.XLOOKUP(Tabla15[[#This Row],[GPS]],Hoja3!A:A,Hoja3!C:C)</f>
        <v>T11</v>
      </c>
      <c r="D243" s="12" t="s">
        <v>15</v>
      </c>
      <c r="E243" s="13">
        <v>46127</v>
      </c>
      <c r="F243" s="11">
        <v>3.9207999999999998</v>
      </c>
      <c r="G243" s="11">
        <v>21.33</v>
      </c>
      <c r="H243" s="11">
        <v>1</v>
      </c>
      <c r="I243" s="11">
        <v>5.6416000000000004</v>
      </c>
      <c r="J243" s="11">
        <v>67.431299999999993</v>
      </c>
      <c r="K243" s="11">
        <v>0.49</v>
      </c>
      <c r="L243" s="15">
        <f t="shared" si="3"/>
        <v>3.5549999999999997</v>
      </c>
      <c r="M243" s="14">
        <f>IF(Tabla15[[#This Row],[COMBUSTIBLE]]="PETRÓLEO",L243*$Q$2,L243*$Q$4)</f>
        <v>4269.5549999999994</v>
      </c>
      <c r="N243" s="12" t="str">
        <f>IF(OR(WEEKDAY(Tabla15[[#This Row],[Fecha]],2)=6,WEEKDAY(Tabla15[[#This Row],[Fecha]],2)=7),"Fin de semana","Semana")</f>
        <v>Semana</v>
      </c>
    </row>
    <row r="244" spans="1:14" ht="12.75" customHeight="1" x14ac:dyDescent="0.25">
      <c r="A244" s="11" t="str">
        <f>_xlfn.XLOOKUP(Tabla15[[#This Row],[GPS]],Hoja3!A:A,Hoja3!B:B)</f>
        <v>CAMIONETA</v>
      </c>
      <c r="B244" s="11" t="str">
        <f>_xlfn.XLOOKUP(GPS!D244,Hoja3!A:A,Hoja3!D:D)</f>
        <v>PETRÓLEO</v>
      </c>
      <c r="C244" s="12" t="str">
        <f>_xlfn.XLOOKUP(Tabla15[[#This Row],[GPS]],Hoja3!A:A,Hoja3!C:C)</f>
        <v>RODRIGO SALINAS</v>
      </c>
      <c r="D244" s="12" t="s">
        <v>109</v>
      </c>
      <c r="E244" s="13">
        <v>46127</v>
      </c>
      <c r="F244" s="11">
        <v>3.8721999999999999</v>
      </c>
      <c r="G244" s="11">
        <v>122.72</v>
      </c>
      <c r="H244" s="11">
        <v>1</v>
      </c>
      <c r="I244" s="11">
        <v>40.862299999999998</v>
      </c>
      <c r="J244" s="11">
        <v>184.6814</v>
      </c>
      <c r="K244" s="11">
        <v>0.48</v>
      </c>
      <c r="L244" s="15">
        <f t="shared" si="3"/>
        <v>13.635555555555555</v>
      </c>
      <c r="M244" s="14">
        <f>IF(Tabla15[[#This Row],[COMBUSTIBLE]]="PETRÓLEO",L244*$Q$2,L244*$Q$4)</f>
        <v>16376.302222222223</v>
      </c>
      <c r="N244" s="12" t="str">
        <f>IF(OR(WEEKDAY(Tabla15[[#This Row],[Fecha]],2)=6,WEEKDAY(Tabla15[[#This Row],[Fecha]],2)=7),"Fin de semana","Semana")</f>
        <v>Semana</v>
      </c>
    </row>
    <row r="245" spans="1:14" ht="12.75" customHeight="1" x14ac:dyDescent="0.25">
      <c r="A245" s="11" t="str">
        <f>_xlfn.XLOOKUP(Tabla15[[#This Row],[GPS]],Hoja3!A:A,Hoja3!B:B)</f>
        <v>TRACTOR</v>
      </c>
      <c r="B245" s="11" t="str">
        <f>_xlfn.XLOOKUP(GPS!D245,Hoja3!A:A,Hoja3!D:D)</f>
        <v>PETRÓLEO</v>
      </c>
      <c r="C245" s="12" t="str">
        <f>_xlfn.XLOOKUP(Tabla15[[#This Row],[GPS]],Hoja3!A:A,Hoja3!C:C)</f>
        <v>T6</v>
      </c>
      <c r="D245" s="12" t="s">
        <v>25</v>
      </c>
      <c r="E245" s="13">
        <v>46127</v>
      </c>
      <c r="F245" s="11">
        <v>3.7233000000000001</v>
      </c>
      <c r="G245" s="11">
        <v>7.34</v>
      </c>
      <c r="H245" s="11">
        <v>1</v>
      </c>
      <c r="I245" s="11">
        <v>4.7064000000000004</v>
      </c>
      <c r="J245" s="11">
        <v>29.613499999999998</v>
      </c>
      <c r="K245" s="11">
        <v>0.47</v>
      </c>
      <c r="L245" s="15">
        <f t="shared" si="3"/>
        <v>1.2233333333333334</v>
      </c>
      <c r="M245" s="14">
        <f>IF(Tabla15[[#This Row],[COMBUSTIBLE]]="PETRÓLEO",L245*$Q$2,L245*$Q$4)</f>
        <v>1469.2233333333334</v>
      </c>
      <c r="N245" s="12" t="str">
        <f>IF(OR(WEEKDAY(Tabla15[[#This Row],[Fecha]],2)=6,WEEKDAY(Tabla15[[#This Row],[Fecha]],2)=7),"Fin de semana","Semana")</f>
        <v>Semana</v>
      </c>
    </row>
    <row r="246" spans="1:14" ht="12.75" customHeight="1" x14ac:dyDescent="0.25">
      <c r="A246" s="11" t="str">
        <f>_xlfn.XLOOKUP(Tabla15[[#This Row],[GPS]],Hoja3!A:A,Hoja3!B:B)</f>
        <v>TRACTOR</v>
      </c>
      <c r="B246" s="11" t="str">
        <f>_xlfn.XLOOKUP(GPS!D246,Hoja3!A:A,Hoja3!D:D)</f>
        <v>PETRÓLEO</v>
      </c>
      <c r="C246" s="12" t="str">
        <f>_xlfn.XLOOKUP(Tabla15[[#This Row],[GPS]],Hoja3!A:A,Hoja3!C:C)</f>
        <v>T14</v>
      </c>
      <c r="D246" s="12" t="s">
        <v>21</v>
      </c>
      <c r="E246" s="13">
        <v>46127</v>
      </c>
      <c r="F246" s="11">
        <v>3.72</v>
      </c>
      <c r="G246" s="11">
        <v>25.03</v>
      </c>
      <c r="H246" s="11">
        <v>1</v>
      </c>
      <c r="I246" s="11">
        <v>16.5731</v>
      </c>
      <c r="J246" s="11">
        <v>66.653499999999994</v>
      </c>
      <c r="K246" s="11">
        <v>0.47</v>
      </c>
      <c r="L246" s="15">
        <f t="shared" si="3"/>
        <v>4.1716666666666669</v>
      </c>
      <c r="M246" s="14">
        <f>IF(Tabla15[[#This Row],[COMBUSTIBLE]]="PETRÓLEO",L246*$Q$2,L246*$Q$4)</f>
        <v>5010.1716666666671</v>
      </c>
      <c r="N246" s="12" t="str">
        <f>IF(OR(WEEKDAY(Tabla15[[#This Row],[Fecha]],2)=6,WEEKDAY(Tabla15[[#This Row],[Fecha]],2)=7),"Fin de semana","Semana")</f>
        <v>Semana</v>
      </c>
    </row>
    <row r="247" spans="1:14" ht="12.75" customHeight="1" x14ac:dyDescent="0.25">
      <c r="A247" s="11" t="str">
        <f>_xlfn.XLOOKUP(Tabla15[[#This Row],[GPS]],Hoja3!A:A,Hoja3!B:B)</f>
        <v>CAMIONETA</v>
      </c>
      <c r="B247" s="11" t="str">
        <f>_xlfn.XLOOKUP(GPS!D247,Hoja3!A:A,Hoja3!D:D)</f>
        <v>PETRÓLEO</v>
      </c>
      <c r="C247" s="12" t="str">
        <f>_xlfn.XLOOKUP(Tabla15[[#This Row],[GPS]],Hoja3!A:A,Hoja3!C:C)</f>
        <v>CAMPO RULO</v>
      </c>
      <c r="D247" s="12" t="s">
        <v>135</v>
      </c>
      <c r="E247" s="13">
        <v>46127</v>
      </c>
      <c r="F247" s="11">
        <v>3.5567000000000002</v>
      </c>
      <c r="G247" s="11">
        <v>56.42</v>
      </c>
      <c r="H247" s="11">
        <v>1</v>
      </c>
      <c r="I247" s="11">
        <v>21.688800000000001</v>
      </c>
      <c r="J247" s="11">
        <v>107.7123</v>
      </c>
      <c r="K247" s="11">
        <v>0.44</v>
      </c>
      <c r="L247" s="15">
        <f t="shared" si="3"/>
        <v>6.2688888888888892</v>
      </c>
      <c r="M247" s="14">
        <f>IF(Tabla15[[#This Row],[COMBUSTIBLE]]="PETRÓLEO",L247*$Q$2,L247*$Q$4)</f>
        <v>7528.9355555555558</v>
      </c>
      <c r="N247" s="12" t="str">
        <f>IF(OR(WEEKDAY(Tabla15[[#This Row],[Fecha]],2)=6,WEEKDAY(Tabla15[[#This Row],[Fecha]],2)=7),"Fin de semana","Semana")</f>
        <v>Semana</v>
      </c>
    </row>
    <row r="248" spans="1:14" ht="12.75" customHeight="1" x14ac:dyDescent="0.25">
      <c r="A248" s="11" t="str">
        <f>_xlfn.XLOOKUP(Tabla15[[#This Row],[GPS]],Hoja3!A:A,Hoja3!B:B)</f>
        <v>CAMIONETA</v>
      </c>
      <c r="B248" s="11" t="str">
        <f>_xlfn.XLOOKUP(GPS!D248,Hoja3!A:A,Hoja3!D:D)</f>
        <v>PETRÓLEO</v>
      </c>
      <c r="C248" s="12" t="str">
        <f>_xlfn.XLOOKUP(Tabla15[[#This Row],[GPS]],Hoja3!A:A,Hoja3!C:C)</f>
        <v>CAMPO PAINE</v>
      </c>
      <c r="D248" s="12" t="s">
        <v>131</v>
      </c>
      <c r="E248" s="13">
        <v>46127</v>
      </c>
      <c r="F248" s="11">
        <v>2.6528</v>
      </c>
      <c r="G248" s="11">
        <v>51.81</v>
      </c>
      <c r="H248" s="11">
        <v>1</v>
      </c>
      <c r="I248" s="11">
        <v>24.015699999999999</v>
      </c>
      <c r="J248" s="11">
        <v>104</v>
      </c>
      <c r="K248" s="11">
        <v>0.33</v>
      </c>
      <c r="L248" s="15">
        <f t="shared" si="3"/>
        <v>5.7566666666666668</v>
      </c>
      <c r="M248" s="14">
        <f>IF(Tabla15[[#This Row],[COMBUSTIBLE]]="PETRÓLEO",L248*$Q$2,L248*$Q$4)</f>
        <v>6913.7566666666671</v>
      </c>
      <c r="N248" s="12" t="str">
        <f>IF(OR(WEEKDAY(Tabla15[[#This Row],[Fecha]],2)=6,WEEKDAY(Tabla15[[#This Row],[Fecha]],2)=7),"Fin de semana","Semana")</f>
        <v>Semana</v>
      </c>
    </row>
    <row r="249" spans="1:14" ht="12.75" customHeight="1" x14ac:dyDescent="0.25">
      <c r="A249" s="11" t="str">
        <f>_xlfn.XLOOKUP(Tabla15[[#This Row],[GPS]],Hoja3!A:A,Hoja3!B:B)</f>
        <v>TRACTOR</v>
      </c>
      <c r="B249" s="11" t="str">
        <f>_xlfn.XLOOKUP(GPS!D249,Hoja3!A:A,Hoja3!D:D)</f>
        <v>PETRÓLEO</v>
      </c>
      <c r="C249" s="12" t="str">
        <f>_xlfn.XLOOKUP(Tabla15[[#This Row],[GPS]],Hoja3!A:A,Hoja3!C:C)</f>
        <v>T7</v>
      </c>
      <c r="D249" s="12" t="s">
        <v>26</v>
      </c>
      <c r="E249" s="13">
        <v>46127</v>
      </c>
      <c r="F249" s="11">
        <v>1.5066999999999999</v>
      </c>
      <c r="G249" s="11">
        <v>4.2300000000000004</v>
      </c>
      <c r="H249" s="11">
        <v>1</v>
      </c>
      <c r="I249" s="11">
        <v>4.3781999999999996</v>
      </c>
      <c r="J249" s="11">
        <v>16.871700000000001</v>
      </c>
      <c r="K249" s="11">
        <v>0.19</v>
      </c>
      <c r="L249" s="15">
        <f t="shared" si="3"/>
        <v>0.70500000000000007</v>
      </c>
      <c r="M249" s="14">
        <f>IF(Tabla15[[#This Row],[COMBUSTIBLE]]="PETRÓLEO",L249*$Q$2,L249*$Q$4)</f>
        <v>846.70500000000004</v>
      </c>
      <c r="N249" s="12" t="str">
        <f>IF(OR(WEEKDAY(Tabla15[[#This Row],[Fecha]],2)=6,WEEKDAY(Tabla15[[#This Row],[Fecha]],2)=7),"Fin de semana","Semana")</f>
        <v>Semana</v>
      </c>
    </row>
    <row r="250" spans="1:14" ht="12.75" customHeight="1" x14ac:dyDescent="0.25">
      <c r="A250" s="11" t="str">
        <f>_xlfn.XLOOKUP(Tabla15[[#This Row],[GPS]],Hoja3!A:A,Hoja3!B:B)</f>
        <v>CAMIONETA</v>
      </c>
      <c r="B250" s="11" t="str">
        <f>_xlfn.XLOOKUP(GPS!D250,Hoja3!A:A,Hoja3!D:D)</f>
        <v>PETRÓLEO</v>
      </c>
      <c r="C250" s="12" t="str">
        <f>_xlfn.XLOOKUP(Tabla15[[#This Row],[GPS]],Hoja3!A:A,Hoja3!C:C)</f>
        <v>GONZALO GUERRERO</v>
      </c>
      <c r="D250" s="12" t="s">
        <v>126</v>
      </c>
      <c r="E250" s="13">
        <v>46127</v>
      </c>
      <c r="F250" s="11">
        <v>1.1057999999999999</v>
      </c>
      <c r="G250" s="11">
        <v>12.05</v>
      </c>
      <c r="H250" s="11">
        <v>1</v>
      </c>
      <c r="I250" s="11">
        <v>20.9346</v>
      </c>
      <c r="J250" s="11">
        <v>76</v>
      </c>
      <c r="K250" s="11">
        <v>0.14000000000000001</v>
      </c>
      <c r="L250" s="15">
        <f t="shared" si="3"/>
        <v>1.338888888888889</v>
      </c>
      <c r="M250" s="14">
        <f>IF(Tabla15[[#This Row],[COMBUSTIBLE]]="PETRÓLEO",L250*$Q$2,L250*$Q$4)</f>
        <v>1608.0055555555557</v>
      </c>
      <c r="N250" s="12" t="str">
        <f>IF(OR(WEEKDAY(Tabla15[[#This Row],[Fecha]],2)=6,WEEKDAY(Tabla15[[#This Row],[Fecha]],2)=7),"Fin de semana","Semana")</f>
        <v>Semana</v>
      </c>
    </row>
    <row r="251" spans="1:14" ht="12.75" customHeight="1" x14ac:dyDescent="0.25">
      <c r="A251" s="11" t="str">
        <f>_xlfn.XLOOKUP(Tabla15[[#This Row],[GPS]],Hoja3!A:A,Hoja3!B:B)</f>
        <v>TRACTOR</v>
      </c>
      <c r="B251" s="11" t="str">
        <f>_xlfn.XLOOKUP(GPS!D251,Hoja3!A:A,Hoja3!D:D)</f>
        <v>PETRÓLEO</v>
      </c>
      <c r="C251" s="12" t="str">
        <f>_xlfn.XLOOKUP(Tabla15[[#This Row],[GPS]],Hoja3!A:A,Hoja3!C:C)</f>
        <v>T8</v>
      </c>
      <c r="D251" s="12" t="s">
        <v>27</v>
      </c>
      <c r="E251" s="13">
        <v>46127</v>
      </c>
      <c r="F251" s="11">
        <v>0.6694</v>
      </c>
      <c r="G251" s="11">
        <v>6.77</v>
      </c>
      <c r="H251" s="11">
        <v>1</v>
      </c>
      <c r="I251" s="11">
        <v>14.045</v>
      </c>
      <c r="J251" s="11">
        <v>67.116500000000002</v>
      </c>
      <c r="K251" s="11">
        <v>0.08</v>
      </c>
      <c r="L251" s="15">
        <f t="shared" si="3"/>
        <v>1.1283333333333332</v>
      </c>
      <c r="M251" s="14">
        <f>IF(Tabla15[[#This Row],[COMBUSTIBLE]]="PETRÓLEO",L251*$Q$2,L251*$Q$4)</f>
        <v>1355.1283333333331</v>
      </c>
      <c r="N251" s="12" t="str">
        <f>IF(OR(WEEKDAY(Tabla15[[#This Row],[Fecha]],2)=6,WEEKDAY(Tabla15[[#This Row],[Fecha]],2)=7),"Fin de semana","Semana")</f>
        <v>Semana</v>
      </c>
    </row>
    <row r="252" spans="1:14" ht="12.75" customHeight="1" x14ac:dyDescent="0.25">
      <c r="A252" s="11" t="str">
        <f>_xlfn.XLOOKUP(Tabla15[[#This Row],[GPS]],Hoja3!A:A,Hoja3!B:B)</f>
        <v>CAMIONETA</v>
      </c>
      <c r="B252" s="11" t="str">
        <f>_xlfn.XLOOKUP(GPS!D252,Hoja3!A:A,Hoja3!D:D)</f>
        <v>BENCINA</v>
      </c>
      <c r="C252" s="12" t="str">
        <f>_xlfn.XLOOKUP(Tabla15[[#This Row],[GPS]],Hoja3!A:A,Hoja3!C:C)</f>
        <v>VG CERRILLOS</v>
      </c>
      <c r="D252" s="12" t="s">
        <v>137</v>
      </c>
      <c r="E252" s="13">
        <v>46127</v>
      </c>
      <c r="F252" s="11">
        <v>0</v>
      </c>
      <c r="G252" s="11">
        <v>29.19</v>
      </c>
      <c r="H252" s="11">
        <v>1</v>
      </c>
      <c r="I252" s="11">
        <v>14.912100000000001</v>
      </c>
      <c r="J252" s="11">
        <v>36.000100000000003</v>
      </c>
      <c r="K252" s="11">
        <v>0</v>
      </c>
      <c r="L252" s="15">
        <f t="shared" si="3"/>
        <v>2.6536363636363638</v>
      </c>
      <c r="M252" s="14">
        <f>IF(Tabla15[[#This Row],[COMBUSTIBLE]]="PETRÓLEO",L252*$Q$2,L252*$Q$4)</f>
        <v>4113.136363636364</v>
      </c>
      <c r="N252" s="12" t="str">
        <f>IF(OR(WEEKDAY(Tabla15[[#This Row],[Fecha]],2)=6,WEEKDAY(Tabla15[[#This Row],[Fecha]],2)=7),"Fin de semana","Semana")</f>
        <v>Semana</v>
      </c>
    </row>
    <row r="253" spans="1:14" ht="12.75" customHeight="1" x14ac:dyDescent="0.25">
      <c r="A253" s="11" t="str">
        <f>_xlfn.XLOOKUP(Tabla15[[#This Row],[GPS]],Hoja3!A:A,Hoja3!B:B)</f>
        <v>CAMIONETA</v>
      </c>
      <c r="B253" s="11" t="str">
        <f>_xlfn.XLOOKUP(GPS!D253,Hoja3!A:A,Hoja3!D:D)</f>
        <v>BENCINA</v>
      </c>
      <c r="C253" s="12" t="str">
        <f>_xlfn.XLOOKUP(Tabla15[[#This Row],[GPS]],Hoja3!A:A,Hoja3!C:C)</f>
        <v>VG GERARDO</v>
      </c>
      <c r="D253" s="12" t="s">
        <v>118</v>
      </c>
      <c r="E253" s="13">
        <v>46127</v>
      </c>
      <c r="F253" s="11">
        <v>0</v>
      </c>
      <c r="G253" s="11">
        <v>83.69</v>
      </c>
      <c r="H253" s="11">
        <v>1</v>
      </c>
      <c r="I253" s="11">
        <v>34.143799999999999</v>
      </c>
      <c r="J253" s="11">
        <v>117.602</v>
      </c>
      <c r="K253" s="11">
        <v>0</v>
      </c>
      <c r="L253" s="15">
        <f t="shared" si="3"/>
        <v>7.6081818181818184</v>
      </c>
      <c r="M253" s="14">
        <f>IF(Tabla15[[#This Row],[COMBUSTIBLE]]="PETRÓLEO",L253*$Q$2,L253*$Q$4)</f>
        <v>11792.681818181818</v>
      </c>
      <c r="N253" s="12" t="str">
        <f>IF(OR(WEEKDAY(Tabla15[[#This Row],[Fecha]],2)=6,WEEKDAY(Tabla15[[#This Row],[Fecha]],2)=7),"Fin de semana","Semana")</f>
        <v>Semana</v>
      </c>
    </row>
    <row r="254" spans="1:14" ht="12.75" customHeight="1" x14ac:dyDescent="0.25">
      <c r="A254" s="11" t="str">
        <f>_xlfn.XLOOKUP(Tabla15[[#This Row],[GPS]],Hoja3!A:A,Hoja3!B:B)</f>
        <v>CAMIONETA</v>
      </c>
      <c r="B254" s="11" t="str">
        <f>_xlfn.XLOOKUP(GPS!D254,Hoja3!A:A,Hoja3!D:D)</f>
        <v>BENCINA</v>
      </c>
      <c r="C254" s="12" t="str">
        <f>_xlfn.XLOOKUP(Tabla15[[#This Row],[GPS]],Hoja3!A:A,Hoja3!C:C)</f>
        <v>VG PIÑALEO</v>
      </c>
      <c r="D254" s="12" t="s">
        <v>114</v>
      </c>
      <c r="E254" s="13">
        <v>46127</v>
      </c>
      <c r="F254" s="11">
        <v>0</v>
      </c>
      <c r="G254" s="11">
        <v>9.6</v>
      </c>
      <c r="H254" s="11">
        <v>1</v>
      </c>
      <c r="I254" s="11">
        <v>22.188600000000001</v>
      </c>
      <c r="J254" s="11">
        <v>79</v>
      </c>
      <c r="K254" s="11">
        <v>0</v>
      </c>
      <c r="L254" s="15">
        <f t="shared" si="3"/>
        <v>0.87272727272727268</v>
      </c>
      <c r="M254" s="14">
        <f>IF(Tabla15[[#This Row],[COMBUSTIBLE]]="PETRÓLEO",L254*$Q$2,L254*$Q$4)</f>
        <v>1352.7272727272727</v>
      </c>
      <c r="N254" s="12" t="str">
        <f>IF(OR(WEEKDAY(Tabla15[[#This Row],[Fecha]],2)=6,WEEKDAY(Tabla15[[#This Row],[Fecha]],2)=7),"Fin de semana","Semana")</f>
        <v>Semana</v>
      </c>
    </row>
    <row r="255" spans="1:14" ht="12.75" customHeight="1" x14ac:dyDescent="0.25">
      <c r="A255" s="11" t="str">
        <f>_xlfn.XLOOKUP(Tabla15[[#This Row],[GPS]],Hoja3!A:A,Hoja3!B:B)</f>
        <v>CAMIONETA</v>
      </c>
      <c r="B255" s="11" t="str">
        <f>_xlfn.XLOOKUP(GPS!D255,Hoja3!A:A,Hoja3!D:D)</f>
        <v>PETRÓLEO</v>
      </c>
      <c r="C255" s="12" t="str">
        <f>_xlfn.XLOOKUP(Tabla15[[#This Row],[GPS]],Hoja3!A:A,Hoja3!C:C)</f>
        <v>SERGIO ROJAS</v>
      </c>
      <c r="D255" s="12" t="s">
        <v>128</v>
      </c>
      <c r="E255" s="13">
        <v>46127</v>
      </c>
      <c r="F255" s="11">
        <v>0</v>
      </c>
      <c r="G255" s="11">
        <v>47.47</v>
      </c>
      <c r="H255" s="11">
        <v>1</v>
      </c>
      <c r="I255" s="11">
        <v>22.3551</v>
      </c>
      <c r="J255" s="11">
        <v>80.000100000000003</v>
      </c>
      <c r="K255" s="11">
        <v>0</v>
      </c>
      <c r="L255" s="15">
        <f t="shared" si="3"/>
        <v>5.2744444444444447</v>
      </c>
      <c r="M255" s="14">
        <f>IF(Tabla15[[#This Row],[COMBUSTIBLE]]="PETRÓLEO",L255*$Q$2,L255*$Q$4)</f>
        <v>6334.6077777777782</v>
      </c>
      <c r="N255" s="12" t="str">
        <f>IF(OR(WEEKDAY(Tabla15[[#This Row],[Fecha]],2)=6,WEEKDAY(Tabla15[[#This Row],[Fecha]],2)=7),"Fin de semana","Semana")</f>
        <v>Semana</v>
      </c>
    </row>
    <row r="256" spans="1:14" ht="12.75" customHeight="1" x14ac:dyDescent="0.25">
      <c r="A256" s="11" t="str">
        <f>_xlfn.XLOOKUP(Tabla15[[#This Row],[GPS]],Hoja3!A:A,Hoja3!B:B)</f>
        <v>TRACTOR</v>
      </c>
      <c r="B256" s="11" t="str">
        <f>_xlfn.XLOOKUP(GPS!D256,Hoja3!A:A,Hoja3!D:D)</f>
        <v>PETRÓLEO</v>
      </c>
      <c r="C256" s="12" t="str">
        <f>_xlfn.XLOOKUP(Tabla15[[#This Row],[GPS]],Hoja3!A:A,Hoja3!C:C)</f>
        <v>T11</v>
      </c>
      <c r="D256" s="12" t="s">
        <v>15</v>
      </c>
      <c r="E256" s="13">
        <v>46128</v>
      </c>
      <c r="F256" s="11">
        <v>4.3127000000000004</v>
      </c>
      <c r="G256" s="11">
        <v>32.35</v>
      </c>
      <c r="H256" s="11">
        <v>1</v>
      </c>
      <c r="I256" s="11">
        <v>4.5003000000000002</v>
      </c>
      <c r="J256" s="11">
        <v>25.316800000000001</v>
      </c>
      <c r="K256" s="11">
        <v>0.54</v>
      </c>
      <c r="L256" s="15">
        <f t="shared" si="3"/>
        <v>5.3916666666666666</v>
      </c>
      <c r="M256" s="14">
        <f>IF(Tabla15[[#This Row],[COMBUSTIBLE]]="PETRÓLEO",L256*$Q$2,L256*$Q$4)</f>
        <v>6475.3916666666664</v>
      </c>
      <c r="N256" s="12" t="str">
        <f>IF(OR(WEEKDAY(Tabla15[[#This Row],[Fecha]],2)=6,WEEKDAY(Tabla15[[#This Row],[Fecha]],2)=7),"Fin de semana","Semana")</f>
        <v>Semana</v>
      </c>
    </row>
    <row r="257" spans="1:14" ht="12.75" customHeight="1" x14ac:dyDescent="0.25">
      <c r="A257" s="11" t="str">
        <f>_xlfn.XLOOKUP(Tabla15[[#This Row],[GPS]],Hoja3!A:A,Hoja3!B:B)</f>
        <v>TRACTOR</v>
      </c>
      <c r="B257" s="11" t="str">
        <f>_xlfn.XLOOKUP(GPS!D257,Hoja3!A:A,Hoja3!D:D)</f>
        <v>PETRÓLEO</v>
      </c>
      <c r="C257" s="12" t="str">
        <f>_xlfn.XLOOKUP(Tabla15[[#This Row],[GPS]],Hoja3!A:A,Hoja3!C:C)</f>
        <v>T12</v>
      </c>
      <c r="D257" s="12" t="s">
        <v>17</v>
      </c>
      <c r="E257" s="13">
        <v>46128</v>
      </c>
      <c r="F257" s="11">
        <v>4.1908000000000003</v>
      </c>
      <c r="G257" s="11">
        <v>15.25</v>
      </c>
      <c r="H257" s="11">
        <v>1</v>
      </c>
      <c r="I257" s="11">
        <v>17.2163</v>
      </c>
      <c r="J257" s="11">
        <v>27.28</v>
      </c>
      <c r="K257" s="11">
        <v>0.52</v>
      </c>
      <c r="L257" s="15">
        <f t="shared" si="3"/>
        <v>2.5416666666666665</v>
      </c>
      <c r="M257" s="14">
        <f>IF(Tabla15[[#This Row],[COMBUSTIBLE]]="PETRÓLEO",L257*$Q$2,L257*$Q$4)</f>
        <v>3052.5416666666665</v>
      </c>
      <c r="N257" s="12" t="str">
        <f>IF(OR(WEEKDAY(Tabla15[[#This Row],[Fecha]],2)=6,WEEKDAY(Tabla15[[#This Row],[Fecha]],2)=7),"Fin de semana","Semana")</f>
        <v>Semana</v>
      </c>
    </row>
    <row r="258" spans="1:14" ht="12.75" customHeight="1" x14ac:dyDescent="0.25">
      <c r="A258" s="11" t="str">
        <f>_xlfn.XLOOKUP(Tabla15[[#This Row],[GPS]],Hoja3!A:A,Hoja3!B:B)</f>
        <v>TRACTOR</v>
      </c>
      <c r="B258" s="11" t="str">
        <f>_xlfn.XLOOKUP(GPS!D258,Hoja3!A:A,Hoja3!D:D)</f>
        <v>PETRÓLEO</v>
      </c>
      <c r="C258" s="12" t="str">
        <f>_xlfn.XLOOKUP(Tabla15[[#This Row],[GPS]],Hoja3!A:A,Hoja3!C:C)</f>
        <v>T6</v>
      </c>
      <c r="D258" s="12" t="s">
        <v>25</v>
      </c>
      <c r="E258" s="13">
        <v>46128</v>
      </c>
      <c r="F258" s="11">
        <v>3.9144000000000001</v>
      </c>
      <c r="G258" s="11">
        <v>6.61</v>
      </c>
      <c r="H258" s="11">
        <v>1</v>
      </c>
      <c r="I258" s="11">
        <v>0</v>
      </c>
      <c r="J258" s="11">
        <v>16.1494</v>
      </c>
      <c r="K258" s="11">
        <v>0.49</v>
      </c>
      <c r="L258" s="15">
        <f t="shared" ref="L258:L321" si="4">IF(AND(A258="CAMIONETA",B258="BENCINA"),G258/$Q$5,IF(A258="TRACTOR",G258/$Q$3,G258/$Q$1))</f>
        <v>1.1016666666666668</v>
      </c>
      <c r="M258" s="14">
        <f>IF(Tabla15[[#This Row],[COMBUSTIBLE]]="PETRÓLEO",L258*$Q$2,L258*$Q$4)</f>
        <v>1323.1016666666669</v>
      </c>
      <c r="N258" s="12" t="str">
        <f>IF(OR(WEEKDAY(Tabla15[[#This Row],[Fecha]],2)=6,WEEKDAY(Tabla15[[#This Row],[Fecha]],2)=7),"Fin de semana","Semana")</f>
        <v>Semana</v>
      </c>
    </row>
    <row r="259" spans="1:14" ht="12.75" customHeight="1" x14ac:dyDescent="0.25">
      <c r="A259" s="11" t="str">
        <f>_xlfn.XLOOKUP(Tabla15[[#This Row],[GPS]],Hoja3!A:A,Hoja3!B:B)</f>
        <v>TRACTOR</v>
      </c>
      <c r="B259" s="11" t="str">
        <f>_xlfn.XLOOKUP(GPS!D259,Hoja3!A:A,Hoja3!D:D)</f>
        <v>PETRÓLEO</v>
      </c>
      <c r="C259" s="12" t="str">
        <f>_xlfn.XLOOKUP(Tabla15[[#This Row],[GPS]],Hoja3!A:A,Hoja3!C:C)</f>
        <v>T4</v>
      </c>
      <c r="D259" s="12" t="s">
        <v>23</v>
      </c>
      <c r="E259" s="13">
        <v>46128</v>
      </c>
      <c r="F259" s="11">
        <v>2.7940999999999998</v>
      </c>
      <c r="G259" s="11">
        <v>19.54</v>
      </c>
      <c r="H259" s="11">
        <v>1</v>
      </c>
      <c r="I259" s="11">
        <v>12.500999999999999</v>
      </c>
      <c r="J259" s="11">
        <v>43.781300000000002</v>
      </c>
      <c r="K259" s="11">
        <v>0.35</v>
      </c>
      <c r="L259" s="15">
        <f t="shared" si="4"/>
        <v>3.2566666666666664</v>
      </c>
      <c r="M259" s="14">
        <f>IF(Tabla15[[#This Row],[COMBUSTIBLE]]="PETRÓLEO",L259*$Q$2,L259*$Q$4)</f>
        <v>3911.2566666666662</v>
      </c>
      <c r="N259" s="12" t="str">
        <f>IF(OR(WEEKDAY(Tabla15[[#This Row],[Fecha]],2)=6,WEEKDAY(Tabla15[[#This Row],[Fecha]],2)=7),"Fin de semana","Semana")</f>
        <v>Semana</v>
      </c>
    </row>
    <row r="260" spans="1:14" ht="12.75" customHeight="1" x14ac:dyDescent="0.25">
      <c r="A260" s="11" t="str">
        <f>_xlfn.XLOOKUP(Tabla15[[#This Row],[GPS]],Hoja3!A:A,Hoja3!B:B)</f>
        <v>TRACTOR</v>
      </c>
      <c r="B260" s="11" t="str">
        <f>_xlfn.XLOOKUP(GPS!D260,Hoja3!A:A,Hoja3!D:D)</f>
        <v>PETRÓLEO</v>
      </c>
      <c r="C260" s="12" t="str">
        <f>_xlfn.XLOOKUP(Tabla15[[#This Row],[GPS]],Hoja3!A:A,Hoja3!C:C)</f>
        <v>T13</v>
      </c>
      <c r="D260" s="12" t="s">
        <v>19</v>
      </c>
      <c r="E260" s="13">
        <v>46128</v>
      </c>
      <c r="F260" s="11">
        <v>2.7334000000000001</v>
      </c>
      <c r="G260" s="11">
        <v>13.01</v>
      </c>
      <c r="H260" s="11">
        <v>1</v>
      </c>
      <c r="I260" s="11">
        <v>8.7043999999999997</v>
      </c>
      <c r="J260" s="11">
        <v>22.909199999999998</v>
      </c>
      <c r="K260" s="11">
        <v>0.34</v>
      </c>
      <c r="L260" s="15">
        <f t="shared" si="4"/>
        <v>2.1683333333333334</v>
      </c>
      <c r="M260" s="14">
        <f>IF(Tabla15[[#This Row],[COMBUSTIBLE]]="PETRÓLEO",L260*$Q$2,L260*$Q$4)</f>
        <v>2604.1683333333335</v>
      </c>
      <c r="N260" s="12" t="str">
        <f>IF(OR(WEEKDAY(Tabla15[[#This Row],[Fecha]],2)=6,WEEKDAY(Tabla15[[#This Row],[Fecha]],2)=7),"Fin de semana","Semana")</f>
        <v>Semana</v>
      </c>
    </row>
    <row r="261" spans="1:14" ht="12.75" customHeight="1" x14ac:dyDescent="0.25">
      <c r="A261" s="11" t="str">
        <f>_xlfn.XLOOKUP(Tabla15[[#This Row],[GPS]],Hoja3!A:A,Hoja3!B:B)</f>
        <v>TRACTOR</v>
      </c>
      <c r="B261" s="11" t="str">
        <f>_xlfn.XLOOKUP(GPS!D261,Hoja3!A:A,Hoja3!D:D)</f>
        <v>PETRÓLEO</v>
      </c>
      <c r="C261" s="12" t="str">
        <f>_xlfn.XLOOKUP(Tabla15[[#This Row],[GPS]],Hoja3!A:A,Hoja3!C:C)</f>
        <v>T5</v>
      </c>
      <c r="D261" s="12" t="s">
        <v>24</v>
      </c>
      <c r="E261" s="13">
        <v>46128</v>
      </c>
      <c r="F261" s="11">
        <v>2.6730999999999998</v>
      </c>
      <c r="G261" s="11">
        <v>14.03</v>
      </c>
      <c r="H261" s="11">
        <v>1</v>
      </c>
      <c r="I261" s="11">
        <v>7.5941999999999998</v>
      </c>
      <c r="J261" s="11">
        <v>24.0001</v>
      </c>
      <c r="K261" s="11">
        <v>0.33</v>
      </c>
      <c r="L261" s="15">
        <f t="shared" si="4"/>
        <v>2.3383333333333334</v>
      </c>
      <c r="M261" s="14">
        <f>IF(Tabla15[[#This Row],[COMBUSTIBLE]]="PETRÓLEO",L261*$Q$2,L261*$Q$4)</f>
        <v>2808.3383333333336</v>
      </c>
      <c r="N261" s="12" t="str">
        <f>IF(OR(WEEKDAY(Tabla15[[#This Row],[Fecha]],2)=6,WEEKDAY(Tabla15[[#This Row],[Fecha]],2)=7),"Fin de semana","Semana")</f>
        <v>Semana</v>
      </c>
    </row>
    <row r="262" spans="1:14" ht="12.75" customHeight="1" x14ac:dyDescent="0.25">
      <c r="A262" s="11" t="str">
        <f>_xlfn.XLOOKUP(Tabla15[[#This Row],[GPS]],Hoja3!A:A,Hoja3!B:B)</f>
        <v>TRACTOR</v>
      </c>
      <c r="B262" s="11" t="str">
        <f>_xlfn.XLOOKUP(GPS!D262,Hoja3!A:A,Hoja3!D:D)</f>
        <v>PETRÓLEO</v>
      </c>
      <c r="C262" s="12" t="str">
        <f>_xlfn.XLOOKUP(Tabla15[[#This Row],[GPS]],Hoja3!A:A,Hoja3!C:C)</f>
        <v>T10</v>
      </c>
      <c r="D262" s="12" t="s">
        <v>14</v>
      </c>
      <c r="E262" s="13">
        <v>46128</v>
      </c>
      <c r="F262" s="11">
        <v>2.4312</v>
      </c>
      <c r="G262" s="11">
        <v>7.91</v>
      </c>
      <c r="H262" s="11">
        <v>1</v>
      </c>
      <c r="I262" s="11">
        <v>15.030200000000001</v>
      </c>
      <c r="J262" s="11">
        <v>62.745800000000003</v>
      </c>
      <c r="K262" s="11">
        <v>0.3</v>
      </c>
      <c r="L262" s="15">
        <f t="shared" si="4"/>
        <v>1.3183333333333334</v>
      </c>
      <c r="M262" s="14">
        <f>IF(Tabla15[[#This Row],[COMBUSTIBLE]]="PETRÓLEO",L262*$Q$2,L262*$Q$4)</f>
        <v>1583.3183333333334</v>
      </c>
      <c r="N262" s="12" t="str">
        <f>IF(OR(WEEKDAY(Tabla15[[#This Row],[Fecha]],2)=6,WEEKDAY(Tabla15[[#This Row],[Fecha]],2)=7),"Fin de semana","Semana")</f>
        <v>Semana</v>
      </c>
    </row>
    <row r="263" spans="1:14" ht="12.75" customHeight="1" x14ac:dyDescent="0.25">
      <c r="A263" s="11" t="str">
        <f>_xlfn.XLOOKUP(Tabla15[[#This Row],[GPS]],Hoja3!A:A,Hoja3!B:B)</f>
        <v>CAMIONETA</v>
      </c>
      <c r="B263" s="11" t="str">
        <f>_xlfn.XLOOKUP(GPS!D263,Hoja3!A:A,Hoja3!D:D)</f>
        <v>PETRÓLEO</v>
      </c>
      <c r="C263" s="12" t="str">
        <f>_xlfn.XLOOKUP(Tabla15[[#This Row],[GPS]],Hoja3!A:A,Hoja3!C:C)</f>
        <v>CAMPO CERRILLOS</v>
      </c>
      <c r="D263" s="12" t="s">
        <v>121</v>
      </c>
      <c r="E263" s="13">
        <v>46128</v>
      </c>
      <c r="F263" s="11">
        <v>2.2000000000000002</v>
      </c>
      <c r="G263" s="11">
        <v>19.170000000000002</v>
      </c>
      <c r="H263" s="11">
        <v>1</v>
      </c>
      <c r="I263" s="11">
        <v>6.2842000000000002</v>
      </c>
      <c r="J263" s="11">
        <v>46.5593</v>
      </c>
      <c r="K263" s="11">
        <v>0.28000000000000003</v>
      </c>
      <c r="L263" s="15">
        <f t="shared" si="4"/>
        <v>2.1300000000000003</v>
      </c>
      <c r="M263" s="14">
        <f>IF(Tabla15[[#This Row],[COMBUSTIBLE]]="PETRÓLEO",L263*$Q$2,L263*$Q$4)</f>
        <v>2558.1300000000006</v>
      </c>
      <c r="N263" s="12" t="str">
        <f>IF(OR(WEEKDAY(Tabla15[[#This Row],[Fecha]],2)=6,WEEKDAY(Tabla15[[#This Row],[Fecha]],2)=7),"Fin de semana","Semana")</f>
        <v>Semana</v>
      </c>
    </row>
    <row r="264" spans="1:14" ht="12.75" customHeight="1" x14ac:dyDescent="0.25">
      <c r="A264" s="11" t="str">
        <f>_xlfn.XLOOKUP(Tabla15[[#This Row],[GPS]],Hoja3!A:A,Hoja3!B:B)</f>
        <v>CAMIONETA</v>
      </c>
      <c r="B264" s="11" t="str">
        <f>_xlfn.XLOOKUP(GPS!D264,Hoja3!A:A,Hoja3!D:D)</f>
        <v>PETRÓLEO</v>
      </c>
      <c r="C264" s="12" t="str">
        <f>_xlfn.XLOOKUP(Tabla15[[#This Row],[GPS]],Hoja3!A:A,Hoja3!C:C)</f>
        <v>RODRIGO SALINAS</v>
      </c>
      <c r="D264" s="12" t="s">
        <v>109</v>
      </c>
      <c r="E264" s="13">
        <v>46128</v>
      </c>
      <c r="F264" s="11">
        <v>2.0234999999999999</v>
      </c>
      <c r="G264" s="11">
        <v>72.97</v>
      </c>
      <c r="H264" s="11">
        <v>1</v>
      </c>
      <c r="I264" s="11">
        <v>37.450499999999998</v>
      </c>
      <c r="J264" s="11">
        <v>142.0001</v>
      </c>
      <c r="K264" s="11">
        <v>0.25</v>
      </c>
      <c r="L264" s="15">
        <f t="shared" si="4"/>
        <v>8.1077777777777769</v>
      </c>
      <c r="M264" s="14">
        <f>IF(Tabla15[[#This Row],[COMBUSTIBLE]]="PETRÓLEO",L264*$Q$2,L264*$Q$4)</f>
        <v>9737.4411111111094</v>
      </c>
      <c r="N264" s="12" t="str">
        <f>IF(OR(WEEKDAY(Tabla15[[#This Row],[Fecha]],2)=6,WEEKDAY(Tabla15[[#This Row],[Fecha]],2)=7),"Fin de semana","Semana")</f>
        <v>Semana</v>
      </c>
    </row>
    <row r="265" spans="1:14" ht="12.75" customHeight="1" x14ac:dyDescent="0.25">
      <c r="A265" s="11" t="str">
        <f>_xlfn.XLOOKUP(Tabla15[[#This Row],[GPS]],Hoja3!A:A,Hoja3!B:B)</f>
        <v>CAMIONETA</v>
      </c>
      <c r="B265" s="11" t="str">
        <f>_xlfn.XLOOKUP(GPS!D265,Hoja3!A:A,Hoja3!D:D)</f>
        <v>PETRÓLEO</v>
      </c>
      <c r="C265" s="12" t="str">
        <f>_xlfn.XLOOKUP(Tabla15[[#This Row],[GPS]],Hoja3!A:A,Hoja3!C:C)</f>
        <v>CAMPO PAINE</v>
      </c>
      <c r="D265" s="12" t="s">
        <v>131</v>
      </c>
      <c r="E265" s="13">
        <v>46128</v>
      </c>
      <c r="F265" s="11">
        <v>1.8313999999999999</v>
      </c>
      <c r="G265" s="11">
        <v>17.88</v>
      </c>
      <c r="H265" s="11">
        <v>1</v>
      </c>
      <c r="I265" s="11">
        <v>11.5205</v>
      </c>
      <c r="J265" s="11">
        <v>66.486800000000002</v>
      </c>
      <c r="K265" s="11">
        <v>0.23</v>
      </c>
      <c r="L265" s="15">
        <f t="shared" si="4"/>
        <v>1.9866666666666666</v>
      </c>
      <c r="M265" s="14">
        <f>IF(Tabla15[[#This Row],[COMBUSTIBLE]]="PETRÓLEO",L265*$Q$2,L265*$Q$4)</f>
        <v>2385.9866666666667</v>
      </c>
      <c r="N265" s="12" t="str">
        <f>IF(OR(WEEKDAY(Tabla15[[#This Row],[Fecha]],2)=6,WEEKDAY(Tabla15[[#This Row],[Fecha]],2)=7),"Fin de semana","Semana")</f>
        <v>Semana</v>
      </c>
    </row>
    <row r="266" spans="1:14" ht="12.75" customHeight="1" x14ac:dyDescent="0.25">
      <c r="A266" s="11" t="str">
        <f>_xlfn.XLOOKUP(Tabla15[[#This Row],[GPS]],Hoja3!A:A,Hoja3!B:B)</f>
        <v>CAMIONETA</v>
      </c>
      <c r="B266" s="11" t="str">
        <f>_xlfn.XLOOKUP(GPS!D266,Hoja3!A:A,Hoja3!D:D)</f>
        <v>PETRÓLEO</v>
      </c>
      <c r="C266" s="12" t="str">
        <f>_xlfn.XLOOKUP(Tabla15[[#This Row],[GPS]],Hoja3!A:A,Hoja3!C:C)</f>
        <v>GONZALO GUERRERO</v>
      </c>
      <c r="D266" s="12" t="s">
        <v>126</v>
      </c>
      <c r="E266" s="13">
        <v>46128</v>
      </c>
      <c r="F266" s="11">
        <v>1.7231000000000001</v>
      </c>
      <c r="G266" s="11">
        <v>28.98</v>
      </c>
      <c r="H266" s="11">
        <v>1</v>
      </c>
      <c r="I266" s="11">
        <v>37.740299999999998</v>
      </c>
      <c r="J266" s="11">
        <v>89.000100000000003</v>
      </c>
      <c r="K266" s="11">
        <v>0.22</v>
      </c>
      <c r="L266" s="15">
        <f t="shared" si="4"/>
        <v>3.22</v>
      </c>
      <c r="M266" s="14">
        <f>IF(Tabla15[[#This Row],[COMBUSTIBLE]]="PETRÓLEO",L266*$Q$2,L266*$Q$4)</f>
        <v>3867.2200000000003</v>
      </c>
      <c r="N266" s="12" t="str">
        <f>IF(OR(WEEKDAY(Tabla15[[#This Row],[Fecha]],2)=6,WEEKDAY(Tabla15[[#This Row],[Fecha]],2)=7),"Fin de semana","Semana")</f>
        <v>Semana</v>
      </c>
    </row>
    <row r="267" spans="1:14" ht="12.75" customHeight="1" x14ac:dyDescent="0.25">
      <c r="A267" s="11" t="str">
        <f>_xlfn.XLOOKUP(Tabla15[[#This Row],[GPS]],Hoja3!A:A,Hoja3!B:B)</f>
        <v>TRACTOR</v>
      </c>
      <c r="B267" s="11" t="str">
        <f>_xlfn.XLOOKUP(GPS!D267,Hoja3!A:A,Hoja3!D:D)</f>
        <v>PETRÓLEO</v>
      </c>
      <c r="C267" s="12" t="str">
        <f>_xlfn.XLOOKUP(Tabla15[[#This Row],[GPS]],Hoja3!A:A,Hoja3!C:C)</f>
        <v>T14</v>
      </c>
      <c r="D267" s="12" t="s">
        <v>21</v>
      </c>
      <c r="E267" s="13">
        <v>46128</v>
      </c>
      <c r="F267" s="11">
        <v>1.3593999999999999</v>
      </c>
      <c r="G267" s="11">
        <v>3.27</v>
      </c>
      <c r="H267" s="11">
        <v>1</v>
      </c>
      <c r="I267" s="11">
        <v>15.9878</v>
      </c>
      <c r="J267" s="11">
        <v>67.060900000000004</v>
      </c>
      <c r="K267" s="11">
        <v>0.17</v>
      </c>
      <c r="L267" s="15">
        <f t="shared" si="4"/>
        <v>0.54500000000000004</v>
      </c>
      <c r="M267" s="14">
        <f>IF(Tabla15[[#This Row],[COMBUSTIBLE]]="PETRÓLEO",L267*$Q$2,L267*$Q$4)</f>
        <v>654.54500000000007</v>
      </c>
      <c r="N267" s="12" t="str">
        <f>IF(OR(WEEKDAY(Tabla15[[#This Row],[Fecha]],2)=6,WEEKDAY(Tabla15[[#This Row],[Fecha]],2)=7),"Fin de semana","Semana")</f>
        <v>Semana</v>
      </c>
    </row>
    <row r="268" spans="1:14" ht="12.75" customHeight="1" x14ac:dyDescent="0.25">
      <c r="A268" s="11" t="str">
        <f>_xlfn.XLOOKUP(Tabla15[[#This Row],[GPS]],Hoja3!A:A,Hoja3!B:B)</f>
        <v>TRACTOR</v>
      </c>
      <c r="B268" s="11" t="str">
        <f>_xlfn.XLOOKUP(GPS!D268,Hoja3!A:A,Hoja3!D:D)</f>
        <v>PETRÓLEO</v>
      </c>
      <c r="C268" s="12" t="str">
        <f>_xlfn.XLOOKUP(Tabla15[[#This Row],[GPS]],Hoja3!A:A,Hoja3!C:C)</f>
        <v>T8</v>
      </c>
      <c r="D268" s="12" t="s">
        <v>27</v>
      </c>
      <c r="E268" s="13">
        <v>46128</v>
      </c>
      <c r="F268" s="11">
        <v>0.49569999999999997</v>
      </c>
      <c r="G268" s="11">
        <v>3.85</v>
      </c>
      <c r="H268" s="11">
        <v>1</v>
      </c>
      <c r="I268" s="11">
        <v>16.043199999999999</v>
      </c>
      <c r="J268" s="11">
        <v>33.391599999999997</v>
      </c>
      <c r="K268" s="11">
        <v>0.06</v>
      </c>
      <c r="L268" s="15">
        <f t="shared" si="4"/>
        <v>0.64166666666666672</v>
      </c>
      <c r="M268" s="14">
        <f>IF(Tabla15[[#This Row],[COMBUSTIBLE]]="PETRÓLEO",L268*$Q$2,L268*$Q$4)</f>
        <v>770.64166666666677</v>
      </c>
      <c r="N268" s="12" t="str">
        <f>IF(OR(WEEKDAY(Tabla15[[#This Row],[Fecha]],2)=6,WEEKDAY(Tabla15[[#This Row],[Fecha]],2)=7),"Fin de semana","Semana")</f>
        <v>Semana</v>
      </c>
    </row>
    <row r="269" spans="1:14" ht="12.75" customHeight="1" x14ac:dyDescent="0.25">
      <c r="A269" s="11" t="str">
        <f>_xlfn.XLOOKUP(Tabla15[[#This Row],[GPS]],Hoja3!A:A,Hoja3!B:B)</f>
        <v>CAMIONETA</v>
      </c>
      <c r="B269" s="11" t="str">
        <f>_xlfn.XLOOKUP(GPS!D269,Hoja3!A:A,Hoja3!D:D)</f>
        <v>PETRÓLEO</v>
      </c>
      <c r="C269" s="12" t="str">
        <f>_xlfn.XLOOKUP(Tabla15[[#This Row],[GPS]],Hoja3!A:A,Hoja3!C:C)</f>
        <v>CAMPO RULO</v>
      </c>
      <c r="D269" s="12" t="s">
        <v>135</v>
      </c>
      <c r="E269" s="13">
        <v>46128</v>
      </c>
      <c r="F269" s="11">
        <v>0.27739999999999998</v>
      </c>
      <c r="G269" s="11">
        <v>6.37</v>
      </c>
      <c r="H269" s="11">
        <v>1</v>
      </c>
      <c r="I269" s="11">
        <v>44.160299999999999</v>
      </c>
      <c r="J269" s="11">
        <v>95.378</v>
      </c>
      <c r="K269" s="11">
        <v>0.03</v>
      </c>
      <c r="L269" s="15">
        <f t="shared" si="4"/>
        <v>0.70777777777777784</v>
      </c>
      <c r="M269" s="14">
        <f>IF(Tabla15[[#This Row],[COMBUSTIBLE]]="PETRÓLEO",L269*$Q$2,L269*$Q$4)</f>
        <v>850.04111111111115</v>
      </c>
      <c r="N269" s="12" t="str">
        <f>IF(OR(WEEKDAY(Tabla15[[#This Row],[Fecha]],2)=6,WEEKDAY(Tabla15[[#This Row],[Fecha]],2)=7),"Fin de semana","Semana")</f>
        <v>Semana</v>
      </c>
    </row>
    <row r="270" spans="1:14" ht="12.75" customHeight="1" x14ac:dyDescent="0.25">
      <c r="A270" s="11" t="str">
        <f>_xlfn.XLOOKUP(Tabla15[[#This Row],[GPS]],Hoja3!A:A,Hoja3!B:B)</f>
        <v>CAMIONETA</v>
      </c>
      <c r="B270" s="11" t="str">
        <f>_xlfn.XLOOKUP(GPS!D270,Hoja3!A:A,Hoja3!D:D)</f>
        <v>PETRÓLEO</v>
      </c>
      <c r="C270" s="12" t="str">
        <f>_xlfn.XLOOKUP(Tabla15[[#This Row],[GPS]],Hoja3!A:A,Hoja3!C:C)</f>
        <v>SERGIO ROJAS</v>
      </c>
      <c r="D270" s="12" t="s">
        <v>128</v>
      </c>
      <c r="E270" s="13">
        <v>46128</v>
      </c>
      <c r="F270" s="11">
        <v>0</v>
      </c>
      <c r="G270" s="11">
        <v>27.75</v>
      </c>
      <c r="H270" s="11">
        <v>1</v>
      </c>
      <c r="I270" s="11">
        <v>20.1052</v>
      </c>
      <c r="J270" s="11">
        <v>83.525199999999998</v>
      </c>
      <c r="K270" s="11">
        <v>0</v>
      </c>
      <c r="L270" s="15">
        <f t="shared" si="4"/>
        <v>3.0833333333333335</v>
      </c>
      <c r="M270" s="14">
        <f>IF(Tabla15[[#This Row],[COMBUSTIBLE]]="PETRÓLEO",L270*$Q$2,L270*$Q$4)</f>
        <v>3703.0833333333335</v>
      </c>
      <c r="N270" s="12" t="str">
        <f>IF(OR(WEEKDAY(Tabla15[[#This Row],[Fecha]],2)=6,WEEKDAY(Tabla15[[#This Row],[Fecha]],2)=7),"Fin de semana","Semana")</f>
        <v>Semana</v>
      </c>
    </row>
    <row r="271" spans="1:14" ht="12.75" customHeight="1" x14ac:dyDescent="0.25">
      <c r="A271" s="11" t="str">
        <f>_xlfn.XLOOKUP(Tabla15[[#This Row],[GPS]],Hoja3!A:A,Hoja3!B:B)</f>
        <v>CAMIONETA</v>
      </c>
      <c r="B271" s="11" t="str">
        <f>_xlfn.XLOOKUP(GPS!D271,Hoja3!A:A,Hoja3!D:D)</f>
        <v>BENCINA</v>
      </c>
      <c r="C271" s="12" t="str">
        <f>_xlfn.XLOOKUP(Tabla15[[#This Row],[GPS]],Hoja3!A:A,Hoja3!C:C)</f>
        <v>VG PIÑALEO</v>
      </c>
      <c r="D271" s="12" t="s">
        <v>114</v>
      </c>
      <c r="E271" s="13">
        <v>46128</v>
      </c>
      <c r="F271" s="11">
        <v>0</v>
      </c>
      <c r="G271" s="11">
        <v>8.2100000000000009</v>
      </c>
      <c r="H271" s="11">
        <v>1</v>
      </c>
      <c r="I271" s="11">
        <v>32.304699999999997</v>
      </c>
      <c r="J271" s="11">
        <v>73.000100000000003</v>
      </c>
      <c r="K271" s="11">
        <v>0</v>
      </c>
      <c r="L271" s="15">
        <f t="shared" si="4"/>
        <v>0.74636363636363645</v>
      </c>
      <c r="M271" s="14">
        <f>IF(Tabla15[[#This Row],[COMBUSTIBLE]]="PETRÓLEO",L271*$Q$2,L271*$Q$4)</f>
        <v>1156.8636363636365</v>
      </c>
      <c r="N271" s="12" t="str">
        <f>IF(OR(WEEKDAY(Tabla15[[#This Row],[Fecha]],2)=6,WEEKDAY(Tabla15[[#This Row],[Fecha]],2)=7),"Fin de semana","Semana")</f>
        <v>Semana</v>
      </c>
    </row>
    <row r="272" spans="1:14" ht="12.75" customHeight="1" x14ac:dyDescent="0.25">
      <c r="A272" s="11" t="str">
        <f>_xlfn.XLOOKUP(Tabla15[[#This Row],[GPS]],Hoja3!A:A,Hoja3!B:B)</f>
        <v>CAMIONETA</v>
      </c>
      <c r="B272" s="11" t="str">
        <f>_xlfn.XLOOKUP(GPS!D272,Hoja3!A:A,Hoja3!D:D)</f>
        <v>BENCINA</v>
      </c>
      <c r="C272" s="12" t="str">
        <f>_xlfn.XLOOKUP(Tabla15[[#This Row],[GPS]],Hoja3!A:A,Hoja3!C:C)</f>
        <v>VG CERRILLOS</v>
      </c>
      <c r="D272" s="12" t="s">
        <v>137</v>
      </c>
      <c r="E272" s="13">
        <v>46128</v>
      </c>
      <c r="F272" s="11">
        <v>0</v>
      </c>
      <c r="G272" s="11">
        <v>17.86</v>
      </c>
      <c r="H272" s="11">
        <v>1</v>
      </c>
      <c r="I272" s="11">
        <v>10.459199999999999</v>
      </c>
      <c r="J272" s="11">
        <v>32.113700000000001</v>
      </c>
      <c r="K272" s="11">
        <v>0</v>
      </c>
      <c r="L272" s="15">
        <f t="shared" si="4"/>
        <v>1.6236363636363635</v>
      </c>
      <c r="M272" s="14">
        <f>IF(Tabla15[[#This Row],[COMBUSTIBLE]]="PETRÓLEO",L272*$Q$2,L272*$Q$4)</f>
        <v>2516.6363636363635</v>
      </c>
      <c r="N272" s="12" t="str">
        <f>IF(OR(WEEKDAY(Tabla15[[#This Row],[Fecha]],2)=6,WEEKDAY(Tabla15[[#This Row],[Fecha]],2)=7),"Fin de semana","Semana")</f>
        <v>Semana</v>
      </c>
    </row>
    <row r="273" spans="1:14" ht="12.75" customHeight="1" x14ac:dyDescent="0.25">
      <c r="A273" s="11" t="str">
        <f>_xlfn.XLOOKUP(Tabla15[[#This Row],[GPS]],Hoja3!A:A,Hoja3!B:B)</f>
        <v>CAMIONETA</v>
      </c>
      <c r="B273" s="11" t="str">
        <f>_xlfn.XLOOKUP(GPS!D273,Hoja3!A:A,Hoja3!D:D)</f>
        <v>BENCINA</v>
      </c>
      <c r="C273" s="12" t="str">
        <f>_xlfn.XLOOKUP(Tabla15[[#This Row],[GPS]],Hoja3!A:A,Hoja3!C:C)</f>
        <v>VG GERARDO</v>
      </c>
      <c r="D273" s="12" t="s">
        <v>118</v>
      </c>
      <c r="E273" s="13">
        <v>46128</v>
      </c>
      <c r="F273" s="11">
        <v>0</v>
      </c>
      <c r="G273" s="11">
        <v>5.24</v>
      </c>
      <c r="H273" s="11">
        <v>1</v>
      </c>
      <c r="I273" s="11">
        <v>6.665</v>
      </c>
      <c r="J273" s="11">
        <v>61.000100000000003</v>
      </c>
      <c r="K273" s="11">
        <v>0</v>
      </c>
      <c r="L273" s="15">
        <f t="shared" si="4"/>
        <v>0.47636363636363638</v>
      </c>
      <c r="M273" s="14">
        <f>IF(Tabla15[[#This Row],[COMBUSTIBLE]]="PETRÓLEO",L273*$Q$2,L273*$Q$4)</f>
        <v>738.36363636363637</v>
      </c>
      <c r="N273" s="12" t="str">
        <f>IF(OR(WEEKDAY(Tabla15[[#This Row],[Fecha]],2)=6,WEEKDAY(Tabla15[[#This Row],[Fecha]],2)=7),"Fin de semana","Semana")</f>
        <v>Semana</v>
      </c>
    </row>
    <row r="274" spans="1:14" ht="12.75" customHeight="1" x14ac:dyDescent="0.25">
      <c r="A274" s="11" t="str">
        <f>_xlfn.XLOOKUP(Tabla15[[#This Row],[GPS]],Hoja3!A:A,Hoja3!B:B)</f>
        <v>TRACTOR</v>
      </c>
      <c r="B274" s="11" t="str">
        <f>_xlfn.XLOOKUP(GPS!D274,Hoja3!A:A,Hoja3!D:D)</f>
        <v>PETRÓLEO</v>
      </c>
      <c r="C274" s="12" t="str">
        <f>_xlfn.XLOOKUP(Tabla15[[#This Row],[GPS]],Hoja3!A:A,Hoja3!C:C)</f>
        <v>T13</v>
      </c>
      <c r="D274" s="12" t="s">
        <v>19</v>
      </c>
      <c r="E274" s="13">
        <v>46129</v>
      </c>
      <c r="F274" s="11">
        <v>7.6380999999999997</v>
      </c>
      <c r="G274" s="11">
        <v>35.93</v>
      </c>
      <c r="H274" s="11">
        <v>1</v>
      </c>
      <c r="I274" s="11">
        <v>6.3532000000000002</v>
      </c>
      <c r="J274" s="11">
        <v>35.428800000000003</v>
      </c>
      <c r="K274" s="11">
        <v>0.95</v>
      </c>
      <c r="L274" s="15">
        <f t="shared" si="4"/>
        <v>5.9883333333333333</v>
      </c>
      <c r="M274" s="14">
        <f>IF(Tabla15[[#This Row],[COMBUSTIBLE]]="PETRÓLEO",L274*$Q$2,L274*$Q$4)</f>
        <v>7191.9883333333337</v>
      </c>
      <c r="N274" s="12" t="str">
        <f>IF(OR(WEEKDAY(Tabla15[[#This Row],[Fecha]],2)=6,WEEKDAY(Tabla15[[#This Row],[Fecha]],2)=7),"Fin de semana","Semana")</f>
        <v>Semana</v>
      </c>
    </row>
    <row r="275" spans="1:14" ht="12.75" customHeight="1" x14ac:dyDescent="0.25">
      <c r="A275" s="11" t="str">
        <f>_xlfn.XLOOKUP(Tabla15[[#This Row],[GPS]],Hoja3!A:A,Hoja3!B:B)</f>
        <v>TRACTOR</v>
      </c>
      <c r="B275" s="11" t="str">
        <f>_xlfn.XLOOKUP(GPS!D275,Hoja3!A:A,Hoja3!D:D)</f>
        <v>PETRÓLEO</v>
      </c>
      <c r="C275" s="12" t="str">
        <f>_xlfn.XLOOKUP(Tabla15[[#This Row],[GPS]],Hoja3!A:A,Hoja3!C:C)</f>
        <v>T10</v>
      </c>
      <c r="D275" s="12" t="s">
        <v>14</v>
      </c>
      <c r="E275" s="13">
        <v>46129</v>
      </c>
      <c r="F275" s="11">
        <v>5.5049999999999999</v>
      </c>
      <c r="G275" s="11">
        <v>14.97</v>
      </c>
      <c r="H275" s="11">
        <v>1</v>
      </c>
      <c r="I275" s="11">
        <v>7.9714999999999998</v>
      </c>
      <c r="J275" s="11">
        <v>32.484099999999998</v>
      </c>
      <c r="K275" s="11">
        <v>0.69</v>
      </c>
      <c r="L275" s="15">
        <f t="shared" si="4"/>
        <v>2.4950000000000001</v>
      </c>
      <c r="M275" s="14">
        <f>IF(Tabla15[[#This Row],[COMBUSTIBLE]]="PETRÓLEO",L275*$Q$2,L275*$Q$4)</f>
        <v>2996.4950000000003</v>
      </c>
      <c r="N275" s="12" t="str">
        <f>IF(OR(WEEKDAY(Tabla15[[#This Row],[Fecha]],2)=6,WEEKDAY(Tabla15[[#This Row],[Fecha]],2)=7),"Fin de semana","Semana")</f>
        <v>Semana</v>
      </c>
    </row>
    <row r="276" spans="1:14" ht="12.75" customHeight="1" x14ac:dyDescent="0.25">
      <c r="A276" s="11" t="str">
        <f>_xlfn.XLOOKUP(Tabla15[[#This Row],[GPS]],Hoja3!A:A,Hoja3!B:B)</f>
        <v>CAMIONETA</v>
      </c>
      <c r="B276" s="11" t="str">
        <f>_xlfn.XLOOKUP(GPS!D276,Hoja3!A:A,Hoja3!D:D)</f>
        <v>PETRÓLEO</v>
      </c>
      <c r="C276" s="12" t="str">
        <f>_xlfn.XLOOKUP(Tabla15[[#This Row],[GPS]],Hoja3!A:A,Hoja3!C:C)</f>
        <v>RODRIGO SALINAS</v>
      </c>
      <c r="D276" s="12" t="s">
        <v>109</v>
      </c>
      <c r="E276" s="13">
        <v>46129</v>
      </c>
      <c r="F276" s="11">
        <v>5.0232999999999999</v>
      </c>
      <c r="G276" s="11">
        <v>167.44</v>
      </c>
      <c r="H276" s="11">
        <v>1</v>
      </c>
      <c r="I276" s="11">
        <v>39.8264</v>
      </c>
      <c r="J276" s="11">
        <v>144.45599999999999</v>
      </c>
      <c r="K276" s="11">
        <v>0.63</v>
      </c>
      <c r="L276" s="15">
        <f t="shared" si="4"/>
        <v>18.604444444444443</v>
      </c>
      <c r="M276" s="14">
        <f>IF(Tabla15[[#This Row],[COMBUSTIBLE]]="PETRÓLEO",L276*$Q$2,L276*$Q$4)</f>
        <v>22343.937777777777</v>
      </c>
      <c r="N276" s="12" t="str">
        <f>IF(OR(WEEKDAY(Tabla15[[#This Row],[Fecha]],2)=6,WEEKDAY(Tabla15[[#This Row],[Fecha]],2)=7),"Fin de semana","Semana")</f>
        <v>Semana</v>
      </c>
    </row>
    <row r="277" spans="1:14" ht="12.75" customHeight="1" x14ac:dyDescent="0.25">
      <c r="A277" s="11" t="str">
        <f>_xlfn.XLOOKUP(Tabla15[[#This Row],[GPS]],Hoja3!A:A,Hoja3!B:B)</f>
        <v>TRACTOR</v>
      </c>
      <c r="B277" s="11" t="str">
        <f>_xlfn.XLOOKUP(GPS!D277,Hoja3!A:A,Hoja3!D:D)</f>
        <v>PETRÓLEO</v>
      </c>
      <c r="C277" s="12" t="str">
        <f>_xlfn.XLOOKUP(Tabla15[[#This Row],[GPS]],Hoja3!A:A,Hoja3!C:C)</f>
        <v>T12</v>
      </c>
      <c r="D277" s="12" t="s">
        <v>17</v>
      </c>
      <c r="E277" s="13">
        <v>46129</v>
      </c>
      <c r="F277" s="11">
        <v>4.7942</v>
      </c>
      <c r="G277" s="11">
        <v>19.79</v>
      </c>
      <c r="H277" s="11">
        <v>1</v>
      </c>
      <c r="I277" s="11">
        <v>8.2896999999999998</v>
      </c>
      <c r="J277" s="11">
        <v>35.410200000000003</v>
      </c>
      <c r="K277" s="11">
        <v>0.6</v>
      </c>
      <c r="L277" s="15">
        <f t="shared" si="4"/>
        <v>3.2983333333333333</v>
      </c>
      <c r="M277" s="14">
        <f>IF(Tabla15[[#This Row],[COMBUSTIBLE]]="PETRÓLEO",L277*$Q$2,L277*$Q$4)</f>
        <v>3961.2983333333332</v>
      </c>
      <c r="N277" s="12" t="str">
        <f>IF(OR(WEEKDAY(Tabla15[[#This Row],[Fecha]],2)=6,WEEKDAY(Tabla15[[#This Row],[Fecha]],2)=7),"Fin de semana","Semana")</f>
        <v>Semana</v>
      </c>
    </row>
    <row r="278" spans="1:14" ht="12.75" customHeight="1" x14ac:dyDescent="0.25">
      <c r="A278" s="11" t="str">
        <f>_xlfn.XLOOKUP(Tabla15[[#This Row],[GPS]],Hoja3!A:A,Hoja3!B:B)</f>
        <v>CAMIONETA</v>
      </c>
      <c r="B278" s="11" t="str">
        <f>_xlfn.XLOOKUP(GPS!D278,Hoja3!A:A,Hoja3!D:D)</f>
        <v>PETRÓLEO</v>
      </c>
      <c r="C278" s="12" t="str">
        <f>_xlfn.XLOOKUP(Tabla15[[#This Row],[GPS]],Hoja3!A:A,Hoja3!C:C)</f>
        <v>CAMPO PAINE</v>
      </c>
      <c r="D278" s="12" t="s">
        <v>131</v>
      </c>
      <c r="E278" s="13">
        <v>46129</v>
      </c>
      <c r="F278" s="11">
        <v>4.6185999999999998</v>
      </c>
      <c r="G278" s="11">
        <v>54.59</v>
      </c>
      <c r="H278" s="11">
        <v>1</v>
      </c>
      <c r="I278" s="11">
        <v>23.16</v>
      </c>
      <c r="J278" s="11">
        <v>99.489400000000003</v>
      </c>
      <c r="K278" s="11">
        <v>0.57999999999999996</v>
      </c>
      <c r="L278" s="15">
        <f t="shared" si="4"/>
        <v>6.065555555555556</v>
      </c>
      <c r="M278" s="14">
        <f>IF(Tabla15[[#This Row],[COMBUSTIBLE]]="PETRÓLEO",L278*$Q$2,L278*$Q$4)</f>
        <v>7284.7322222222228</v>
      </c>
      <c r="N278" s="12" t="str">
        <f>IF(OR(WEEKDAY(Tabla15[[#This Row],[Fecha]],2)=6,WEEKDAY(Tabla15[[#This Row],[Fecha]],2)=7),"Fin de semana","Semana")</f>
        <v>Semana</v>
      </c>
    </row>
    <row r="279" spans="1:14" ht="12.75" customHeight="1" x14ac:dyDescent="0.25">
      <c r="A279" s="11" t="str">
        <f>_xlfn.XLOOKUP(Tabla15[[#This Row],[GPS]],Hoja3!A:A,Hoja3!B:B)</f>
        <v>TRACTOR</v>
      </c>
      <c r="B279" s="11" t="str">
        <f>_xlfn.XLOOKUP(GPS!D279,Hoja3!A:A,Hoja3!D:D)</f>
        <v>PETRÓLEO</v>
      </c>
      <c r="C279" s="12" t="str">
        <f>_xlfn.XLOOKUP(Tabla15[[#This Row],[GPS]],Hoja3!A:A,Hoja3!C:C)</f>
        <v>T6</v>
      </c>
      <c r="D279" s="12" t="s">
        <v>25</v>
      </c>
      <c r="E279" s="13">
        <v>46129</v>
      </c>
      <c r="F279" s="11">
        <v>4.5772000000000004</v>
      </c>
      <c r="G279" s="11">
        <v>6.41</v>
      </c>
      <c r="H279" s="11">
        <v>1</v>
      </c>
      <c r="I279" s="11">
        <v>4.4684999999999997</v>
      </c>
      <c r="J279" s="11">
        <v>21.964700000000001</v>
      </c>
      <c r="K279" s="11">
        <v>0.56999999999999995</v>
      </c>
      <c r="L279" s="15">
        <f t="shared" si="4"/>
        <v>1.0683333333333334</v>
      </c>
      <c r="M279" s="14">
        <f>IF(Tabla15[[#This Row],[COMBUSTIBLE]]="PETRÓLEO",L279*$Q$2,L279*$Q$4)</f>
        <v>1283.0683333333334</v>
      </c>
      <c r="N279" s="12" t="str">
        <f>IF(OR(WEEKDAY(Tabla15[[#This Row],[Fecha]],2)=6,WEEKDAY(Tabla15[[#This Row],[Fecha]],2)=7),"Fin de semana","Semana")</f>
        <v>Semana</v>
      </c>
    </row>
    <row r="280" spans="1:14" ht="12.75" customHeight="1" x14ac:dyDescent="0.25">
      <c r="A280" s="11" t="str">
        <f>_xlfn.XLOOKUP(Tabla15[[#This Row],[GPS]],Hoja3!A:A,Hoja3!B:B)</f>
        <v>CAMIONETA</v>
      </c>
      <c r="B280" s="11" t="str">
        <f>_xlfn.XLOOKUP(GPS!D280,Hoja3!A:A,Hoja3!D:D)</f>
        <v>PETRÓLEO</v>
      </c>
      <c r="C280" s="12" t="str">
        <f>_xlfn.XLOOKUP(Tabla15[[#This Row],[GPS]],Hoja3!A:A,Hoja3!C:C)</f>
        <v>CAMPO CERRILLOS</v>
      </c>
      <c r="D280" s="12" t="s">
        <v>121</v>
      </c>
      <c r="E280" s="13">
        <v>46129</v>
      </c>
      <c r="F280" s="11">
        <v>3.9041999999999999</v>
      </c>
      <c r="G280" s="11">
        <v>17.739999999999998</v>
      </c>
      <c r="H280" s="11">
        <v>1</v>
      </c>
      <c r="I280" s="11">
        <v>11.441800000000001</v>
      </c>
      <c r="J280" s="11">
        <v>33.650799999999997</v>
      </c>
      <c r="K280" s="11">
        <v>0.49</v>
      </c>
      <c r="L280" s="15">
        <f t="shared" si="4"/>
        <v>1.971111111111111</v>
      </c>
      <c r="M280" s="14">
        <f>IF(Tabla15[[#This Row],[COMBUSTIBLE]]="PETRÓLEO",L280*$Q$2,L280*$Q$4)</f>
        <v>2367.3044444444445</v>
      </c>
      <c r="N280" s="12" t="str">
        <f>IF(OR(WEEKDAY(Tabla15[[#This Row],[Fecha]],2)=6,WEEKDAY(Tabla15[[#This Row],[Fecha]],2)=7),"Fin de semana","Semana")</f>
        <v>Semana</v>
      </c>
    </row>
    <row r="281" spans="1:14" ht="12.75" customHeight="1" x14ac:dyDescent="0.25">
      <c r="A281" s="11" t="str">
        <f>_xlfn.XLOOKUP(Tabla15[[#This Row],[GPS]],Hoja3!A:A,Hoja3!B:B)</f>
        <v>TRACTOR</v>
      </c>
      <c r="B281" s="11" t="str">
        <f>_xlfn.XLOOKUP(GPS!D281,Hoja3!A:A,Hoja3!D:D)</f>
        <v>PETRÓLEO</v>
      </c>
      <c r="C281" s="12" t="str">
        <f>_xlfn.XLOOKUP(Tabla15[[#This Row],[GPS]],Hoja3!A:A,Hoja3!C:C)</f>
        <v>T7</v>
      </c>
      <c r="D281" s="12" t="s">
        <v>26</v>
      </c>
      <c r="E281" s="13">
        <v>46129</v>
      </c>
      <c r="F281" s="11">
        <v>3.7957999999999998</v>
      </c>
      <c r="G281" s="11">
        <v>8.25</v>
      </c>
      <c r="H281" s="11">
        <v>1</v>
      </c>
      <c r="I281" s="11">
        <v>4.1675000000000004</v>
      </c>
      <c r="J281" s="11">
        <v>22.409199999999998</v>
      </c>
      <c r="K281" s="11">
        <v>0.47</v>
      </c>
      <c r="L281" s="15">
        <f t="shared" si="4"/>
        <v>1.375</v>
      </c>
      <c r="M281" s="14">
        <f>IF(Tabla15[[#This Row],[COMBUSTIBLE]]="PETRÓLEO",L281*$Q$2,L281*$Q$4)</f>
        <v>1651.375</v>
      </c>
      <c r="N281" s="12" t="str">
        <f>IF(OR(WEEKDAY(Tabla15[[#This Row],[Fecha]],2)=6,WEEKDAY(Tabla15[[#This Row],[Fecha]],2)=7),"Fin de semana","Semana")</f>
        <v>Semana</v>
      </c>
    </row>
    <row r="282" spans="1:14" ht="12.75" customHeight="1" x14ac:dyDescent="0.25">
      <c r="A282" s="11" t="str">
        <f>_xlfn.XLOOKUP(Tabla15[[#This Row],[GPS]],Hoja3!A:A,Hoja3!B:B)</f>
        <v>CAMIONETA</v>
      </c>
      <c r="B282" s="11" t="str">
        <f>_xlfn.XLOOKUP(GPS!D282,Hoja3!A:A,Hoja3!D:D)</f>
        <v>PETRÓLEO</v>
      </c>
      <c r="C282" s="12" t="str">
        <f>_xlfn.XLOOKUP(Tabla15[[#This Row],[GPS]],Hoja3!A:A,Hoja3!C:C)</f>
        <v>CAMPO PAINE</v>
      </c>
      <c r="D282" s="12" t="s">
        <v>131</v>
      </c>
      <c r="E282" s="13">
        <v>46131</v>
      </c>
      <c r="F282" s="11">
        <v>3.5853000000000002</v>
      </c>
      <c r="G282" s="11">
        <v>7.12</v>
      </c>
      <c r="H282" s="11">
        <v>1</v>
      </c>
      <c r="I282" s="11">
        <v>10.3513</v>
      </c>
      <c r="J282" s="11">
        <v>30.261700000000001</v>
      </c>
      <c r="K282" s="11">
        <v>0.45</v>
      </c>
      <c r="L282" s="15">
        <f t="shared" si="4"/>
        <v>0.7911111111111111</v>
      </c>
      <c r="M282" s="14">
        <f>IF(Tabla15[[#This Row],[COMBUSTIBLE]]="PETRÓLEO",L282*$Q$2,L282*$Q$4)</f>
        <v>950.12444444444441</v>
      </c>
      <c r="N282" s="12" t="str">
        <f>IF(OR(WEEKDAY(Tabla15[[#This Row],[Fecha]],2)=6,WEEKDAY(Tabla15[[#This Row],[Fecha]],2)=7),"Fin de semana","Semana")</f>
        <v>Fin de semana</v>
      </c>
    </row>
    <row r="283" spans="1:14" ht="12.75" customHeight="1" x14ac:dyDescent="0.25">
      <c r="A283" s="11" t="str">
        <f>_xlfn.XLOOKUP(Tabla15[[#This Row],[GPS]],Hoja3!A:A,Hoja3!B:B)</f>
        <v>TRACTOR</v>
      </c>
      <c r="B283" s="11" t="str">
        <f>_xlfn.XLOOKUP(GPS!D283,Hoja3!A:A,Hoja3!D:D)</f>
        <v>PETRÓLEO</v>
      </c>
      <c r="C283" s="12" t="str">
        <f>_xlfn.XLOOKUP(Tabla15[[#This Row],[GPS]],Hoja3!A:A,Hoja3!C:C)</f>
        <v>T13</v>
      </c>
      <c r="D283" s="12" t="s">
        <v>19</v>
      </c>
      <c r="E283" s="13">
        <v>46131</v>
      </c>
      <c r="F283" s="11">
        <v>3.4744000000000002</v>
      </c>
      <c r="G283" s="11">
        <v>15.08</v>
      </c>
      <c r="H283" s="11">
        <v>1</v>
      </c>
      <c r="I283" s="11">
        <v>5.9859999999999998</v>
      </c>
      <c r="J283" s="11">
        <v>23.779699999999998</v>
      </c>
      <c r="K283" s="11">
        <v>0.43</v>
      </c>
      <c r="L283" s="15">
        <f t="shared" si="4"/>
        <v>2.5133333333333332</v>
      </c>
      <c r="M283" s="14">
        <f>IF(Tabla15[[#This Row],[COMBUSTIBLE]]="PETRÓLEO",L283*$Q$2,L283*$Q$4)</f>
        <v>3018.5133333333333</v>
      </c>
      <c r="N283" s="12" t="str">
        <f>IF(OR(WEEKDAY(Tabla15[[#This Row],[Fecha]],2)=6,WEEKDAY(Tabla15[[#This Row],[Fecha]],2)=7),"Fin de semana","Semana")</f>
        <v>Fin de semana</v>
      </c>
    </row>
    <row r="284" spans="1:14" ht="12.75" customHeight="1" x14ac:dyDescent="0.25">
      <c r="A284" s="11" t="str">
        <f>_xlfn.XLOOKUP(Tabla15[[#This Row],[GPS]],Hoja3!A:A,Hoja3!B:B)</f>
        <v>TRACTOR</v>
      </c>
      <c r="B284" s="11" t="str">
        <f>_xlfn.XLOOKUP(GPS!D284,Hoja3!A:A,Hoja3!D:D)</f>
        <v>PETRÓLEO</v>
      </c>
      <c r="C284" s="12" t="str">
        <f>_xlfn.XLOOKUP(Tabla15[[#This Row],[GPS]],Hoja3!A:A,Hoja3!C:C)</f>
        <v>T14</v>
      </c>
      <c r="D284" s="12" t="s">
        <v>21</v>
      </c>
      <c r="E284" s="13">
        <v>46129</v>
      </c>
      <c r="F284" s="11">
        <v>2.8917000000000002</v>
      </c>
      <c r="G284" s="11">
        <v>6.39</v>
      </c>
      <c r="H284" s="11">
        <v>1</v>
      </c>
      <c r="I284" s="11">
        <v>14.948499999999999</v>
      </c>
      <c r="J284" s="11">
        <v>44.8369</v>
      </c>
      <c r="K284" s="11">
        <v>0.36</v>
      </c>
      <c r="L284" s="15">
        <f t="shared" si="4"/>
        <v>1.0649999999999999</v>
      </c>
      <c r="M284" s="14">
        <f>IF(Tabla15[[#This Row],[COMBUSTIBLE]]="PETRÓLEO",L284*$Q$2,L284*$Q$4)</f>
        <v>1279.0649999999998</v>
      </c>
      <c r="N284" s="12" t="str">
        <f>IF(OR(WEEKDAY(Tabla15[[#This Row],[Fecha]],2)=6,WEEKDAY(Tabla15[[#This Row],[Fecha]],2)=7),"Fin de semana","Semana")</f>
        <v>Semana</v>
      </c>
    </row>
    <row r="285" spans="1:14" ht="12.75" customHeight="1" x14ac:dyDescent="0.25">
      <c r="A285" s="11" t="str">
        <f>_xlfn.XLOOKUP(Tabla15[[#This Row],[GPS]],Hoja3!A:A,Hoja3!B:B)</f>
        <v>TRACTOR</v>
      </c>
      <c r="B285" s="11" t="str">
        <f>_xlfn.XLOOKUP(GPS!D285,Hoja3!A:A,Hoja3!D:D)</f>
        <v>PETRÓLEO</v>
      </c>
      <c r="C285" s="12" t="str">
        <f>_xlfn.XLOOKUP(Tabla15[[#This Row],[GPS]],Hoja3!A:A,Hoja3!C:C)</f>
        <v>T5</v>
      </c>
      <c r="D285" s="12" t="s">
        <v>24</v>
      </c>
      <c r="E285" s="13">
        <v>46129</v>
      </c>
      <c r="F285" s="11">
        <v>2.8908</v>
      </c>
      <c r="G285" s="11">
        <v>14.7</v>
      </c>
      <c r="H285" s="11">
        <v>1</v>
      </c>
      <c r="I285" s="11">
        <v>7.6734999999999998</v>
      </c>
      <c r="J285" s="11">
        <v>28.909700000000001</v>
      </c>
      <c r="K285" s="11">
        <v>0.36</v>
      </c>
      <c r="L285" s="15">
        <f t="shared" si="4"/>
        <v>2.4499999999999997</v>
      </c>
      <c r="M285" s="14">
        <f>IF(Tabla15[[#This Row],[COMBUSTIBLE]]="PETRÓLEO",L285*$Q$2,L285*$Q$4)</f>
        <v>2942.45</v>
      </c>
      <c r="N285" s="12" t="str">
        <f>IF(OR(WEEKDAY(Tabla15[[#This Row],[Fecha]],2)=6,WEEKDAY(Tabla15[[#This Row],[Fecha]],2)=7),"Fin de semana","Semana")</f>
        <v>Semana</v>
      </c>
    </row>
    <row r="286" spans="1:14" ht="12.75" customHeight="1" x14ac:dyDescent="0.25">
      <c r="A286" s="11" t="str">
        <f>_xlfn.XLOOKUP(Tabla15[[#This Row],[GPS]],Hoja3!A:A,Hoja3!B:B)</f>
        <v>CAMIONETA</v>
      </c>
      <c r="B286" s="11" t="str">
        <f>_xlfn.XLOOKUP(GPS!D286,Hoja3!A:A,Hoja3!D:D)</f>
        <v>PETRÓLEO</v>
      </c>
      <c r="C286" s="12" t="str">
        <f>_xlfn.XLOOKUP(Tabla15[[#This Row],[GPS]],Hoja3!A:A,Hoja3!C:C)</f>
        <v>GONZALO GUERRERO</v>
      </c>
      <c r="D286" s="12" t="s">
        <v>126</v>
      </c>
      <c r="E286" s="13">
        <v>46129</v>
      </c>
      <c r="F286" s="11">
        <v>1.9125000000000001</v>
      </c>
      <c r="G286" s="11">
        <v>34.03</v>
      </c>
      <c r="H286" s="11">
        <v>1</v>
      </c>
      <c r="I286" s="11">
        <v>24.142499999999998</v>
      </c>
      <c r="J286" s="11">
        <v>94.000100000000003</v>
      </c>
      <c r="K286" s="11">
        <v>0.24</v>
      </c>
      <c r="L286" s="15">
        <f t="shared" si="4"/>
        <v>3.7811111111111111</v>
      </c>
      <c r="M286" s="14">
        <f>IF(Tabla15[[#This Row],[COMBUSTIBLE]]="PETRÓLEO",L286*$Q$2,L286*$Q$4)</f>
        <v>4541.1144444444444</v>
      </c>
      <c r="N286" s="12" t="str">
        <f>IF(OR(WEEKDAY(Tabla15[[#This Row],[Fecha]],2)=6,WEEKDAY(Tabla15[[#This Row],[Fecha]],2)=7),"Fin de semana","Semana")</f>
        <v>Semana</v>
      </c>
    </row>
    <row r="287" spans="1:14" ht="12.75" customHeight="1" x14ac:dyDescent="0.25">
      <c r="A287" s="11" t="str">
        <f>_xlfn.XLOOKUP(Tabla15[[#This Row],[GPS]],Hoja3!A:A,Hoja3!B:B)</f>
        <v>CAMIONETA</v>
      </c>
      <c r="B287" s="11" t="str">
        <f>_xlfn.XLOOKUP(GPS!D287,Hoja3!A:A,Hoja3!D:D)</f>
        <v>PETRÓLEO</v>
      </c>
      <c r="C287" s="12" t="str">
        <f>_xlfn.XLOOKUP(Tabla15[[#This Row],[GPS]],Hoja3!A:A,Hoja3!C:C)</f>
        <v>RODRIGO SALINAS</v>
      </c>
      <c r="D287" s="12" t="s">
        <v>109</v>
      </c>
      <c r="E287" s="13">
        <v>46130</v>
      </c>
      <c r="F287" s="11">
        <v>0.99109999999999998</v>
      </c>
      <c r="G287" s="11">
        <v>56.01</v>
      </c>
      <c r="H287" s="11">
        <v>1</v>
      </c>
      <c r="I287" s="11">
        <v>64.628900000000002</v>
      </c>
      <c r="J287" s="11">
        <v>188.941</v>
      </c>
      <c r="K287" s="11">
        <v>0.12</v>
      </c>
      <c r="L287" s="15">
        <f t="shared" si="4"/>
        <v>6.2233333333333327</v>
      </c>
      <c r="M287" s="14">
        <f>IF(Tabla15[[#This Row],[COMBUSTIBLE]]="PETRÓLEO",L287*$Q$2,L287*$Q$4)</f>
        <v>7474.2233333333324</v>
      </c>
      <c r="N287" s="12" t="str">
        <f>IF(OR(WEEKDAY(Tabla15[[#This Row],[Fecha]],2)=6,WEEKDAY(Tabla15[[#This Row],[Fecha]],2)=7),"Fin de semana","Semana")</f>
        <v>Fin de semana</v>
      </c>
    </row>
    <row r="288" spans="1:14" ht="12.75" customHeight="1" x14ac:dyDescent="0.25">
      <c r="A288" s="11" t="str">
        <f>_xlfn.XLOOKUP(Tabla15[[#This Row],[GPS]],Hoja3!A:A,Hoja3!B:B)</f>
        <v>TRACTOR</v>
      </c>
      <c r="B288" s="11" t="str">
        <f>_xlfn.XLOOKUP(GPS!D288,Hoja3!A:A,Hoja3!D:D)</f>
        <v>PETRÓLEO</v>
      </c>
      <c r="C288" s="12" t="str">
        <f>_xlfn.XLOOKUP(Tabla15[[#This Row],[GPS]],Hoja3!A:A,Hoja3!C:C)</f>
        <v>T8</v>
      </c>
      <c r="D288" s="12" t="s">
        <v>27</v>
      </c>
      <c r="E288" s="13">
        <v>46129</v>
      </c>
      <c r="F288" s="11">
        <v>0.69279999999999997</v>
      </c>
      <c r="G288" s="11">
        <v>8.0500000000000007</v>
      </c>
      <c r="H288" s="11">
        <v>1</v>
      </c>
      <c r="I288" s="11">
        <v>14.0952</v>
      </c>
      <c r="J288" s="11">
        <v>33.261899999999997</v>
      </c>
      <c r="K288" s="11">
        <v>0.09</v>
      </c>
      <c r="L288" s="15">
        <f t="shared" si="4"/>
        <v>1.3416666666666668</v>
      </c>
      <c r="M288" s="14">
        <f>IF(Tabla15[[#This Row],[COMBUSTIBLE]]="PETRÓLEO",L288*$Q$2,L288*$Q$4)</f>
        <v>1611.3416666666667</v>
      </c>
      <c r="N288" s="12" t="str">
        <f>IF(OR(WEEKDAY(Tabla15[[#This Row],[Fecha]],2)=6,WEEKDAY(Tabla15[[#This Row],[Fecha]],2)=7),"Fin de semana","Semana")</f>
        <v>Semana</v>
      </c>
    </row>
    <row r="289" spans="1:14" ht="12.75" customHeight="1" x14ac:dyDescent="0.25">
      <c r="A289" s="11" t="str">
        <f>_xlfn.XLOOKUP(Tabla15[[#This Row],[GPS]],Hoja3!A:A,Hoja3!B:B)</f>
        <v>CAMIONETA</v>
      </c>
      <c r="B289" s="11" t="str">
        <f>_xlfn.XLOOKUP(GPS!D289,Hoja3!A:A,Hoja3!D:D)</f>
        <v>PETRÓLEO</v>
      </c>
      <c r="C289" s="12" t="str">
        <f>_xlfn.XLOOKUP(Tabla15[[#This Row],[GPS]],Hoja3!A:A,Hoja3!C:C)</f>
        <v>CAMPO PAINE</v>
      </c>
      <c r="D289" s="12" t="s">
        <v>131</v>
      </c>
      <c r="E289" s="13">
        <v>46130</v>
      </c>
      <c r="F289" s="11">
        <v>0.61860000000000004</v>
      </c>
      <c r="G289" s="11">
        <v>14.95</v>
      </c>
      <c r="H289" s="11">
        <v>1</v>
      </c>
      <c r="I289" s="11">
        <v>26.081</v>
      </c>
      <c r="J289" s="11">
        <v>63.597700000000003</v>
      </c>
      <c r="K289" s="11">
        <v>0.08</v>
      </c>
      <c r="L289" s="15">
        <f t="shared" si="4"/>
        <v>1.661111111111111</v>
      </c>
      <c r="M289" s="14">
        <f>IF(Tabla15[[#This Row],[COMBUSTIBLE]]="PETRÓLEO",L289*$Q$2,L289*$Q$4)</f>
        <v>1994.9944444444443</v>
      </c>
      <c r="N289" s="12" t="str">
        <f>IF(OR(WEEKDAY(Tabla15[[#This Row],[Fecha]],2)=6,WEEKDAY(Tabla15[[#This Row],[Fecha]],2)=7),"Fin de semana","Semana")</f>
        <v>Fin de semana</v>
      </c>
    </row>
    <row r="290" spans="1:14" ht="12.75" customHeight="1" x14ac:dyDescent="0.25">
      <c r="A290" s="11" t="str">
        <f>_xlfn.XLOOKUP(Tabla15[[#This Row],[GPS]],Hoja3!A:A,Hoja3!B:B)</f>
        <v>CAMIONETA</v>
      </c>
      <c r="B290" s="11" t="str">
        <f>_xlfn.XLOOKUP(GPS!D290,Hoja3!A:A,Hoja3!D:D)</f>
        <v>PETRÓLEO</v>
      </c>
      <c r="C290" s="12" t="str">
        <f>_xlfn.XLOOKUP(Tabla15[[#This Row],[GPS]],Hoja3!A:A,Hoja3!C:C)</f>
        <v>CAMPO RULO</v>
      </c>
      <c r="D290" s="12" t="s">
        <v>135</v>
      </c>
      <c r="E290" s="13">
        <v>46129</v>
      </c>
      <c r="F290" s="11">
        <v>0.45469999999999999</v>
      </c>
      <c r="G290" s="11">
        <v>10</v>
      </c>
      <c r="H290" s="11">
        <v>1</v>
      </c>
      <c r="I290" s="11">
        <v>24.925999999999998</v>
      </c>
      <c r="J290" s="11">
        <v>85.895799999999994</v>
      </c>
      <c r="K290" s="11">
        <v>0.06</v>
      </c>
      <c r="L290" s="15">
        <f t="shared" si="4"/>
        <v>1.1111111111111112</v>
      </c>
      <c r="M290" s="14">
        <f>IF(Tabla15[[#This Row],[COMBUSTIBLE]]="PETRÓLEO",L290*$Q$2,L290*$Q$4)</f>
        <v>1334.4444444444446</v>
      </c>
      <c r="N290" s="12" t="str">
        <f>IF(OR(WEEKDAY(Tabla15[[#This Row],[Fecha]],2)=6,WEEKDAY(Tabla15[[#This Row],[Fecha]],2)=7),"Fin de semana","Semana")</f>
        <v>Semana</v>
      </c>
    </row>
    <row r="291" spans="1:14" ht="12.75" customHeight="1" x14ac:dyDescent="0.25">
      <c r="A291" s="11" t="str">
        <f>_xlfn.XLOOKUP(Tabla15[[#This Row],[GPS]],Hoja3!A:A,Hoja3!B:B)</f>
        <v>CAMIONETA</v>
      </c>
      <c r="B291" s="11" t="str">
        <f>_xlfn.XLOOKUP(GPS!D291,Hoja3!A:A,Hoja3!D:D)</f>
        <v>PETRÓLEO</v>
      </c>
      <c r="C291" s="12" t="str">
        <f>_xlfn.XLOOKUP(Tabla15[[#This Row],[GPS]],Hoja3!A:A,Hoja3!C:C)</f>
        <v>GONZALO GUERRERO</v>
      </c>
      <c r="D291" s="12" t="s">
        <v>126</v>
      </c>
      <c r="E291" s="13">
        <v>46131</v>
      </c>
      <c r="F291" s="11">
        <v>0.19889999999999999</v>
      </c>
      <c r="G291" s="11">
        <v>5.49</v>
      </c>
      <c r="H291" s="11">
        <v>1</v>
      </c>
      <c r="I291" s="11">
        <v>30.852900000000002</v>
      </c>
      <c r="J291" s="11">
        <v>98.322699999999998</v>
      </c>
      <c r="K291" s="11">
        <v>0.02</v>
      </c>
      <c r="L291" s="15">
        <f t="shared" si="4"/>
        <v>0.61</v>
      </c>
      <c r="M291" s="14">
        <f>IF(Tabla15[[#This Row],[COMBUSTIBLE]]="PETRÓLEO",L291*$Q$2,L291*$Q$4)</f>
        <v>732.61</v>
      </c>
      <c r="N291" s="12" t="str">
        <f>IF(OR(WEEKDAY(Tabla15[[#This Row],[Fecha]],2)=6,WEEKDAY(Tabla15[[#This Row],[Fecha]],2)=7),"Fin de semana","Semana")</f>
        <v>Fin de semana</v>
      </c>
    </row>
    <row r="292" spans="1:14" ht="12.75" customHeight="1" x14ac:dyDescent="0.25">
      <c r="A292" s="11" t="str">
        <f>_xlfn.XLOOKUP(Tabla15[[#This Row],[GPS]],Hoja3!A:A,Hoja3!B:B)</f>
        <v>TRACTOR</v>
      </c>
      <c r="B292" s="11" t="str">
        <f>_xlfn.XLOOKUP(GPS!D292,Hoja3!A:A,Hoja3!D:D)</f>
        <v>PETRÓLEO</v>
      </c>
      <c r="C292" s="12" t="str">
        <f>_xlfn.XLOOKUP(Tabla15[[#This Row],[GPS]],Hoja3!A:A,Hoja3!C:C)</f>
        <v>T13</v>
      </c>
      <c r="D292" s="12" t="s">
        <v>19</v>
      </c>
      <c r="E292" s="13">
        <v>46130</v>
      </c>
      <c r="F292" s="11">
        <v>1.89E-2</v>
      </c>
      <c r="G292" s="11">
        <v>0.04</v>
      </c>
      <c r="H292" s="11">
        <v>0</v>
      </c>
      <c r="I292" s="11">
        <v>2.3449</v>
      </c>
      <c r="J292" s="11">
        <v>7.9451000000000001</v>
      </c>
      <c r="K292" s="11">
        <v>0</v>
      </c>
      <c r="L292" s="15">
        <f t="shared" si="4"/>
        <v>6.6666666666666671E-3</v>
      </c>
      <c r="M292" s="14">
        <f>IF(Tabla15[[#This Row],[COMBUSTIBLE]]="PETRÓLEO",L292*$Q$2,L292*$Q$4)</f>
        <v>8.0066666666666677</v>
      </c>
      <c r="N292" s="12" t="str">
        <f>IF(OR(WEEKDAY(Tabla15[[#This Row],[Fecha]],2)=6,WEEKDAY(Tabla15[[#This Row],[Fecha]],2)=7),"Fin de semana","Semana")</f>
        <v>Fin de semana</v>
      </c>
    </row>
    <row r="293" spans="1:14" ht="12.75" customHeight="1" x14ac:dyDescent="0.25">
      <c r="A293" s="11" t="str">
        <f>_xlfn.XLOOKUP(Tabla15[[#This Row],[GPS]],Hoja3!A:A,Hoja3!B:B)</f>
        <v>CAMIONETA</v>
      </c>
      <c r="B293" s="11" t="str">
        <f>_xlfn.XLOOKUP(GPS!D293,Hoja3!A:A,Hoja3!D:D)</f>
        <v>BENCINA</v>
      </c>
      <c r="C293" s="12" t="str">
        <f>_xlfn.XLOOKUP(Tabla15[[#This Row],[GPS]],Hoja3!A:A,Hoja3!C:C)</f>
        <v>VG PIÑALEO</v>
      </c>
      <c r="D293" s="12" t="s">
        <v>114</v>
      </c>
      <c r="E293" s="13">
        <v>46130</v>
      </c>
      <c r="F293" s="11">
        <v>0</v>
      </c>
      <c r="G293" s="11">
        <v>24.3</v>
      </c>
      <c r="H293" s="11">
        <v>1</v>
      </c>
      <c r="I293" s="11">
        <v>30.3033</v>
      </c>
      <c r="J293" s="11">
        <v>96.822599999999994</v>
      </c>
      <c r="K293" s="11">
        <v>0</v>
      </c>
      <c r="L293" s="15">
        <f t="shared" si="4"/>
        <v>2.209090909090909</v>
      </c>
      <c r="M293" s="14">
        <f>IF(Tabla15[[#This Row],[COMBUSTIBLE]]="PETRÓLEO",L293*$Q$2,L293*$Q$4)</f>
        <v>3424.090909090909</v>
      </c>
      <c r="N293" s="12" t="str">
        <f>IF(OR(WEEKDAY(Tabla15[[#This Row],[Fecha]],2)=6,WEEKDAY(Tabla15[[#This Row],[Fecha]],2)=7),"Fin de semana","Semana")</f>
        <v>Fin de semana</v>
      </c>
    </row>
    <row r="294" spans="1:14" ht="12.75" customHeight="1" x14ac:dyDescent="0.25">
      <c r="A294" s="11" t="str">
        <f>_xlfn.XLOOKUP(Tabla15[[#This Row],[GPS]],Hoja3!A:A,Hoja3!B:B)</f>
        <v>CAMIONETA</v>
      </c>
      <c r="B294" s="11" t="str">
        <f>_xlfn.XLOOKUP(GPS!D294,Hoja3!A:A,Hoja3!D:D)</f>
        <v>BENCINA</v>
      </c>
      <c r="C294" s="12" t="str">
        <f>_xlfn.XLOOKUP(Tabla15[[#This Row],[GPS]],Hoja3!A:A,Hoja3!C:C)</f>
        <v>VG CERRILLOS</v>
      </c>
      <c r="D294" s="12" t="s">
        <v>137</v>
      </c>
      <c r="E294" s="13">
        <v>46129</v>
      </c>
      <c r="F294" s="11">
        <v>0</v>
      </c>
      <c r="G294" s="11">
        <v>37.78</v>
      </c>
      <c r="H294" s="11">
        <v>1</v>
      </c>
      <c r="I294" s="11">
        <v>20.0075</v>
      </c>
      <c r="J294" s="11">
        <v>117.12050000000001</v>
      </c>
      <c r="K294" s="11">
        <v>0</v>
      </c>
      <c r="L294" s="15">
        <f t="shared" si="4"/>
        <v>3.4345454545454546</v>
      </c>
      <c r="M294" s="14">
        <f>IF(Tabla15[[#This Row],[COMBUSTIBLE]]="PETRÓLEO",L294*$Q$2,L294*$Q$4)</f>
        <v>5323.545454545455</v>
      </c>
      <c r="N294" s="12" t="str">
        <f>IF(OR(WEEKDAY(Tabla15[[#This Row],[Fecha]],2)=6,WEEKDAY(Tabla15[[#This Row],[Fecha]],2)=7),"Fin de semana","Semana")</f>
        <v>Semana</v>
      </c>
    </row>
    <row r="295" spans="1:14" ht="12.75" customHeight="1" x14ac:dyDescent="0.25">
      <c r="A295" s="11" t="str">
        <f>_xlfn.XLOOKUP(Tabla15[[#This Row],[GPS]],Hoja3!A:A,Hoja3!B:B)</f>
        <v>CAMIONETA</v>
      </c>
      <c r="B295" s="11" t="str">
        <f>_xlfn.XLOOKUP(GPS!D295,Hoja3!A:A,Hoja3!D:D)</f>
        <v>PETRÓLEO</v>
      </c>
      <c r="C295" s="12" t="str">
        <f>_xlfn.XLOOKUP(Tabla15[[#This Row],[GPS]],Hoja3!A:A,Hoja3!C:C)</f>
        <v>SERGIO ROJAS</v>
      </c>
      <c r="D295" s="12" t="s">
        <v>128</v>
      </c>
      <c r="E295" s="13">
        <v>46131</v>
      </c>
      <c r="F295" s="11">
        <v>0</v>
      </c>
      <c r="G295" s="11">
        <v>3.16</v>
      </c>
      <c r="H295" s="11">
        <v>1</v>
      </c>
      <c r="I295" s="11">
        <v>21.963100000000001</v>
      </c>
      <c r="J295" s="11">
        <v>40.000100000000003</v>
      </c>
      <c r="K295" s="11">
        <v>0</v>
      </c>
      <c r="L295" s="15">
        <f t="shared" si="4"/>
        <v>0.35111111111111115</v>
      </c>
      <c r="M295" s="14">
        <f>IF(Tabla15[[#This Row],[COMBUSTIBLE]]="PETRÓLEO",L295*$Q$2,L295*$Q$4)</f>
        <v>421.68444444444447</v>
      </c>
      <c r="N295" s="12" t="str">
        <f>IF(OR(WEEKDAY(Tabla15[[#This Row],[Fecha]],2)=6,WEEKDAY(Tabla15[[#This Row],[Fecha]],2)=7),"Fin de semana","Semana")</f>
        <v>Fin de semana</v>
      </c>
    </row>
    <row r="296" spans="1:14" ht="12.75" customHeight="1" x14ac:dyDescent="0.25">
      <c r="A296" s="11" t="str">
        <f>_xlfn.XLOOKUP(Tabla15[[#This Row],[GPS]],Hoja3!A:A,Hoja3!B:B)</f>
        <v>CAMIONETA</v>
      </c>
      <c r="B296" s="11" t="str">
        <f>_xlfn.XLOOKUP(GPS!D296,Hoja3!A:A,Hoja3!D:D)</f>
        <v>BENCINA</v>
      </c>
      <c r="C296" s="12" t="str">
        <f>_xlfn.XLOOKUP(Tabla15[[#This Row],[GPS]],Hoja3!A:A,Hoja3!C:C)</f>
        <v>VG GERARDO</v>
      </c>
      <c r="D296" s="12" t="s">
        <v>118</v>
      </c>
      <c r="E296" s="13">
        <v>46129</v>
      </c>
      <c r="F296" s="11">
        <v>0</v>
      </c>
      <c r="G296" s="11">
        <v>82.03</v>
      </c>
      <c r="H296" s="11">
        <v>1</v>
      </c>
      <c r="I296" s="11">
        <v>31.515000000000001</v>
      </c>
      <c r="J296" s="11">
        <v>104</v>
      </c>
      <c r="K296" s="11">
        <v>0</v>
      </c>
      <c r="L296" s="15">
        <f t="shared" si="4"/>
        <v>7.4572727272727271</v>
      </c>
      <c r="M296" s="14">
        <f>IF(Tabla15[[#This Row],[COMBUSTIBLE]]="PETRÓLEO",L296*$Q$2,L296*$Q$4)</f>
        <v>11558.772727272726</v>
      </c>
      <c r="N296" s="12" t="str">
        <f>IF(OR(WEEKDAY(Tabla15[[#This Row],[Fecha]],2)=6,WEEKDAY(Tabla15[[#This Row],[Fecha]],2)=7),"Fin de semana","Semana")</f>
        <v>Semana</v>
      </c>
    </row>
    <row r="297" spans="1:14" ht="12.75" customHeight="1" x14ac:dyDescent="0.25">
      <c r="A297" s="11" t="str">
        <f>_xlfn.XLOOKUP(Tabla15[[#This Row],[GPS]],Hoja3!A:A,Hoja3!B:B)</f>
        <v>CAMIONETA</v>
      </c>
      <c r="B297" s="11" t="str">
        <f>_xlfn.XLOOKUP(GPS!D297,Hoja3!A:A,Hoja3!D:D)</f>
        <v>BENCINA</v>
      </c>
      <c r="C297" s="12" t="str">
        <f>_xlfn.XLOOKUP(Tabla15[[#This Row],[GPS]],Hoja3!A:A,Hoja3!C:C)</f>
        <v>VG PIÑALEO</v>
      </c>
      <c r="D297" s="12" t="s">
        <v>114</v>
      </c>
      <c r="E297" s="13">
        <v>46131</v>
      </c>
      <c r="F297" s="11">
        <v>0</v>
      </c>
      <c r="G297" s="11">
        <v>52.8</v>
      </c>
      <c r="H297" s="11">
        <v>1</v>
      </c>
      <c r="I297" s="11">
        <v>33.818399999999997</v>
      </c>
      <c r="J297" s="11">
        <v>86.192099999999996</v>
      </c>
      <c r="K297" s="11">
        <v>0</v>
      </c>
      <c r="L297" s="15">
        <f t="shared" si="4"/>
        <v>4.8</v>
      </c>
      <c r="M297" s="14">
        <f>IF(Tabla15[[#This Row],[COMBUSTIBLE]]="PETRÓLEO",L297*$Q$2,L297*$Q$4)</f>
        <v>7440</v>
      </c>
      <c r="N297" s="12" t="str">
        <f>IF(OR(WEEKDAY(Tabla15[[#This Row],[Fecha]],2)=6,WEEKDAY(Tabla15[[#This Row],[Fecha]],2)=7),"Fin de semana","Semana")</f>
        <v>Fin de semana</v>
      </c>
    </row>
    <row r="298" spans="1:14" ht="12.75" customHeight="1" x14ac:dyDescent="0.25">
      <c r="A298" s="11" t="str">
        <f>_xlfn.XLOOKUP(Tabla15[[#This Row],[GPS]],Hoja3!A:A,Hoja3!B:B)</f>
        <v>CAMIONETA</v>
      </c>
      <c r="B298" s="11" t="str">
        <f>_xlfn.XLOOKUP(GPS!D298,Hoja3!A:A,Hoja3!D:D)</f>
        <v>BENCINA</v>
      </c>
      <c r="C298" s="12" t="str">
        <f>_xlfn.XLOOKUP(Tabla15[[#This Row],[GPS]],Hoja3!A:A,Hoja3!C:C)</f>
        <v>VG GERARDO</v>
      </c>
      <c r="D298" s="12" t="s">
        <v>118</v>
      </c>
      <c r="E298" s="13">
        <v>46130</v>
      </c>
      <c r="F298" s="11">
        <v>0</v>
      </c>
      <c r="G298" s="11">
        <v>0.43</v>
      </c>
      <c r="H298" s="11">
        <v>0</v>
      </c>
      <c r="I298" s="11">
        <v>7.9911000000000003</v>
      </c>
      <c r="J298" s="11">
        <v>25</v>
      </c>
      <c r="K298" s="11">
        <v>0</v>
      </c>
      <c r="L298" s="15">
        <f t="shared" si="4"/>
        <v>3.9090909090909093E-2</v>
      </c>
      <c r="M298" s="14">
        <f>IF(Tabla15[[#This Row],[COMBUSTIBLE]]="PETRÓLEO",L298*$Q$2,L298*$Q$4)</f>
        <v>60.590909090909093</v>
      </c>
      <c r="N298" s="12" t="str">
        <f>IF(OR(WEEKDAY(Tabla15[[#This Row],[Fecha]],2)=6,WEEKDAY(Tabla15[[#This Row],[Fecha]],2)=7),"Fin de semana","Semana")</f>
        <v>Fin de semana</v>
      </c>
    </row>
    <row r="299" spans="1:14" ht="12.75" customHeight="1" x14ac:dyDescent="0.25">
      <c r="A299" s="11" t="str">
        <f>_xlfn.XLOOKUP(Tabla15[[#This Row],[GPS]],Hoja3!A:A,Hoja3!B:B)</f>
        <v>CAMIONETA</v>
      </c>
      <c r="B299" s="11" t="str">
        <f>_xlfn.XLOOKUP(GPS!D299,Hoja3!A:A,Hoja3!D:D)</f>
        <v>PETRÓLEO</v>
      </c>
      <c r="C299" s="12" t="str">
        <f>_xlfn.XLOOKUP(Tabla15[[#This Row],[GPS]],Hoja3!A:A,Hoja3!C:C)</f>
        <v>SERGIO ROJAS</v>
      </c>
      <c r="D299" s="12" t="s">
        <v>128</v>
      </c>
      <c r="E299" s="13">
        <v>46129</v>
      </c>
      <c r="F299" s="11">
        <v>0</v>
      </c>
      <c r="G299" s="11">
        <v>35.51</v>
      </c>
      <c r="H299" s="11">
        <v>1</v>
      </c>
      <c r="I299" s="11">
        <v>24.224699999999999</v>
      </c>
      <c r="J299" s="11">
        <v>106.7122</v>
      </c>
      <c r="K299" s="11">
        <v>0</v>
      </c>
      <c r="L299" s="15">
        <f t="shared" si="4"/>
        <v>3.9455555555555555</v>
      </c>
      <c r="M299" s="14">
        <f>IF(Tabla15[[#This Row],[COMBUSTIBLE]]="PETRÓLEO",L299*$Q$2,L299*$Q$4)</f>
        <v>4738.612222222222</v>
      </c>
      <c r="N299" s="12" t="str">
        <f>IF(OR(WEEKDAY(Tabla15[[#This Row],[Fecha]],2)=6,WEEKDAY(Tabla15[[#This Row],[Fecha]],2)=7),"Fin de semana","Semana")</f>
        <v>Semana</v>
      </c>
    </row>
    <row r="300" spans="1:14" ht="12.75" customHeight="1" x14ac:dyDescent="0.25">
      <c r="A300" s="11" t="str">
        <f>_xlfn.XLOOKUP(Tabla15[[#This Row],[GPS]],Hoja3!A:A,Hoja3!B:B)</f>
        <v>CAMIONETA</v>
      </c>
      <c r="B300" s="11" t="str">
        <f>_xlfn.XLOOKUP(GPS!D300,Hoja3!A:A,Hoja3!D:D)</f>
        <v>BENCINA</v>
      </c>
      <c r="C300" s="12" t="str">
        <f>_xlfn.XLOOKUP(Tabla15[[#This Row],[GPS]],Hoja3!A:A,Hoja3!C:C)</f>
        <v>VG GERARDO</v>
      </c>
      <c r="D300" s="12" t="s">
        <v>118</v>
      </c>
      <c r="E300" s="13">
        <v>46131</v>
      </c>
      <c r="F300" s="11">
        <v>0</v>
      </c>
      <c r="G300" s="11">
        <v>0.09</v>
      </c>
      <c r="H300" s="11">
        <v>0</v>
      </c>
      <c r="I300" s="11">
        <v>7.2903000000000002</v>
      </c>
      <c r="J300" s="11">
        <v>47.207500000000003</v>
      </c>
      <c r="K300" s="11">
        <v>0</v>
      </c>
      <c r="L300" s="15">
        <f t="shared" si="4"/>
        <v>8.1818181818181807E-3</v>
      </c>
      <c r="M300" s="14">
        <f>IF(Tabla15[[#This Row],[COMBUSTIBLE]]="PETRÓLEO",L300*$Q$2,L300*$Q$4)</f>
        <v>12.68181818181818</v>
      </c>
      <c r="N300" s="12" t="str">
        <f>IF(OR(WEEKDAY(Tabla15[[#This Row],[Fecha]],2)=6,WEEKDAY(Tabla15[[#This Row],[Fecha]],2)=7),"Fin de semana","Semana")</f>
        <v>Fin de semana</v>
      </c>
    </row>
    <row r="301" spans="1:14" ht="12.75" customHeight="1" x14ac:dyDescent="0.25">
      <c r="A301" s="11" t="str">
        <f>_xlfn.XLOOKUP(Tabla15[[#This Row],[GPS]],Hoja3!A:A,Hoja3!B:B)</f>
        <v>TRACTOR</v>
      </c>
      <c r="B301" s="11" t="str">
        <f>_xlfn.XLOOKUP(GPS!D301,Hoja3!A:A,Hoja3!D:D)</f>
        <v>PETRÓLEO</v>
      </c>
      <c r="C301" s="12" t="str">
        <f>_xlfn.XLOOKUP(Tabla15[[#This Row],[GPS]],Hoja3!A:A,Hoja3!C:C)</f>
        <v>T7</v>
      </c>
      <c r="D301" s="12" t="s">
        <v>26</v>
      </c>
      <c r="E301" s="13">
        <v>46131</v>
      </c>
      <c r="F301" s="11">
        <v>0</v>
      </c>
      <c r="G301" s="11">
        <v>0.01</v>
      </c>
      <c r="H301" s="11">
        <v>0</v>
      </c>
      <c r="I301" s="11">
        <v>15.5753</v>
      </c>
      <c r="J301" s="11">
        <v>15.5753</v>
      </c>
      <c r="K301" s="11">
        <v>0</v>
      </c>
      <c r="L301" s="15">
        <f t="shared" si="4"/>
        <v>1.6666666666666668E-3</v>
      </c>
      <c r="M301" s="14">
        <f>IF(Tabla15[[#This Row],[COMBUSTIBLE]]="PETRÓLEO",L301*$Q$2,L301*$Q$4)</f>
        <v>2.0016666666666669</v>
      </c>
      <c r="N301" s="12" t="str">
        <f>IF(OR(WEEKDAY(Tabla15[[#This Row],[Fecha]],2)=6,WEEKDAY(Tabla15[[#This Row],[Fecha]],2)=7),"Fin de semana","Semana")</f>
        <v>Fin de semana</v>
      </c>
    </row>
    <row r="302" spans="1:14" ht="12.75" customHeight="1" x14ac:dyDescent="0.25">
      <c r="A302" s="11" t="str">
        <f>_xlfn.XLOOKUP(Tabla15[[#This Row],[GPS]],Hoja3!A:A,Hoja3!B:B)</f>
        <v>CAMIONETA</v>
      </c>
      <c r="B302" s="11" t="str">
        <f>_xlfn.XLOOKUP(GPS!D302,Hoja3!A:A,Hoja3!D:D)</f>
        <v>PETRÓLEO</v>
      </c>
      <c r="C302" s="12" t="str">
        <f>_xlfn.XLOOKUP(Tabla15[[#This Row],[GPS]],Hoja3!A:A,Hoja3!C:C)</f>
        <v>SERGIO ROJAS</v>
      </c>
      <c r="D302" s="12" t="s">
        <v>128</v>
      </c>
      <c r="E302" s="13">
        <v>46130</v>
      </c>
      <c r="F302" s="11">
        <v>0</v>
      </c>
      <c r="G302" s="11">
        <v>3.28</v>
      </c>
      <c r="H302" s="11">
        <v>1</v>
      </c>
      <c r="I302" s="11">
        <v>20.4299</v>
      </c>
      <c r="J302" s="11">
        <v>42</v>
      </c>
      <c r="K302" s="11">
        <v>0</v>
      </c>
      <c r="L302" s="15">
        <f t="shared" si="4"/>
        <v>0.3644444444444444</v>
      </c>
      <c r="M302" s="14">
        <f>IF(Tabla15[[#This Row],[COMBUSTIBLE]]="PETRÓLEO",L302*$Q$2,L302*$Q$4)</f>
        <v>437.69777777777773</v>
      </c>
      <c r="N302" s="12" t="str">
        <f>IF(OR(WEEKDAY(Tabla15[[#This Row],[Fecha]],2)=6,WEEKDAY(Tabla15[[#This Row],[Fecha]],2)=7),"Fin de semana","Semana")</f>
        <v>Fin de semana</v>
      </c>
    </row>
    <row r="303" spans="1:14" ht="12.75" customHeight="1" x14ac:dyDescent="0.25">
      <c r="A303" s="11" t="str">
        <f>_xlfn.XLOOKUP(Tabla15[[#This Row],[GPS]],Hoja3!A:A,Hoja3!B:B)</f>
        <v>CAMIONETA</v>
      </c>
      <c r="B303" s="11" t="str">
        <f>_xlfn.XLOOKUP(GPS!D303,Hoja3!A:A,Hoja3!D:D)</f>
        <v>BENCINA</v>
      </c>
      <c r="C303" s="12" t="str">
        <f>_xlfn.XLOOKUP(Tabla15[[#This Row],[GPS]],Hoja3!A:A,Hoja3!C:C)</f>
        <v>VG PIÑALEO</v>
      </c>
      <c r="D303" s="12" t="s">
        <v>114</v>
      </c>
      <c r="E303" s="13">
        <v>46129</v>
      </c>
      <c r="F303" s="11">
        <v>0</v>
      </c>
      <c r="G303" s="11">
        <v>67.91</v>
      </c>
      <c r="H303" s="11">
        <v>1</v>
      </c>
      <c r="I303" s="11">
        <v>34.1952</v>
      </c>
      <c r="J303" s="11">
        <v>114.0001</v>
      </c>
      <c r="K303" s="11">
        <v>0</v>
      </c>
      <c r="L303" s="15">
        <f t="shared" si="4"/>
        <v>6.1736363636363629</v>
      </c>
      <c r="M303" s="14">
        <f>IF(Tabla15[[#This Row],[COMBUSTIBLE]]="PETRÓLEO",L303*$Q$2,L303*$Q$4)</f>
        <v>9569.1363636363621</v>
      </c>
      <c r="N303" s="12" t="str">
        <f>IF(OR(WEEKDAY(Tabla15[[#This Row],[Fecha]],2)=6,WEEKDAY(Tabla15[[#This Row],[Fecha]],2)=7),"Fin de semana","Semana")</f>
        <v>Semana</v>
      </c>
    </row>
    <row r="304" spans="1:14" ht="12.75" customHeight="1" x14ac:dyDescent="0.25">
      <c r="A304" s="11" t="str">
        <f>_xlfn.XLOOKUP(Tabla15[[#This Row],[GPS]],Hoja3!A:A,Hoja3!B:B)</f>
        <v>CAMIONETA</v>
      </c>
      <c r="B304" s="11" t="str">
        <f>_xlfn.XLOOKUP(GPS!D304,Hoja3!A:A,Hoja3!D:D)</f>
        <v>PETRÓLEO</v>
      </c>
      <c r="C304" s="12" t="str">
        <f>_xlfn.XLOOKUP(Tabla15[[#This Row],[GPS]],Hoja3!A:A,Hoja3!C:C)</f>
        <v>CAMPO CERRILLOS</v>
      </c>
      <c r="D304" s="12" t="s">
        <v>121</v>
      </c>
      <c r="E304" s="13">
        <v>46132</v>
      </c>
      <c r="F304" s="11">
        <v>7.4214000000000002</v>
      </c>
      <c r="G304" s="11">
        <v>131.38</v>
      </c>
      <c r="H304" s="11">
        <v>1</v>
      </c>
      <c r="I304" s="11">
        <v>61.877800000000001</v>
      </c>
      <c r="J304" s="11">
        <v>165.62440000000001</v>
      </c>
      <c r="K304" s="11">
        <v>0.93</v>
      </c>
      <c r="L304" s="15">
        <f t="shared" si="4"/>
        <v>14.597777777777777</v>
      </c>
      <c r="M304" s="14">
        <f>IF(Tabla15[[#This Row],[COMBUSTIBLE]]="PETRÓLEO",L304*$Q$2,L304*$Q$4)</f>
        <v>17531.931111111109</v>
      </c>
      <c r="N304" s="12" t="str">
        <f>IF(OR(WEEKDAY(Tabla15[[#This Row],[Fecha]],2)=6,WEEKDAY(Tabla15[[#This Row],[Fecha]],2)=7),"Fin de semana","Semana")</f>
        <v>Semana</v>
      </c>
    </row>
    <row r="305" spans="1:14" ht="12.75" customHeight="1" x14ac:dyDescent="0.25">
      <c r="A305" s="11" t="str">
        <f>_xlfn.XLOOKUP(Tabla15[[#This Row],[GPS]],Hoja3!A:A,Hoja3!B:B)</f>
        <v>CAMIONETA</v>
      </c>
      <c r="B305" s="11" t="str">
        <f>_xlfn.XLOOKUP(GPS!D305,Hoja3!A:A,Hoja3!D:D)</f>
        <v>PETRÓLEO</v>
      </c>
      <c r="C305" s="12" t="str">
        <f>_xlfn.XLOOKUP(Tabla15[[#This Row],[GPS]],Hoja3!A:A,Hoja3!C:C)</f>
        <v>RODRIGO SALINAS</v>
      </c>
      <c r="D305" s="12" t="s">
        <v>109</v>
      </c>
      <c r="E305" s="13">
        <v>46132</v>
      </c>
      <c r="F305" s="11">
        <v>3.6644000000000001</v>
      </c>
      <c r="G305" s="11">
        <v>102.11</v>
      </c>
      <c r="H305" s="11">
        <v>1</v>
      </c>
      <c r="I305" s="11">
        <v>36.235599999999998</v>
      </c>
      <c r="J305" s="11">
        <v>191.55240000000001</v>
      </c>
      <c r="K305" s="11">
        <v>0.46</v>
      </c>
      <c r="L305" s="15">
        <f t="shared" si="4"/>
        <v>11.345555555555556</v>
      </c>
      <c r="M305" s="14">
        <f>IF(Tabla15[[#This Row],[COMBUSTIBLE]]="PETRÓLEO",L305*$Q$2,L305*$Q$4)</f>
        <v>13626.012222222223</v>
      </c>
      <c r="N305" s="12" t="str">
        <f>IF(OR(WEEKDAY(Tabla15[[#This Row],[Fecha]],2)=6,WEEKDAY(Tabla15[[#This Row],[Fecha]],2)=7),"Fin de semana","Semana")</f>
        <v>Semana</v>
      </c>
    </row>
    <row r="306" spans="1:14" ht="12.75" customHeight="1" x14ac:dyDescent="0.25">
      <c r="A306" s="11" t="str">
        <f>_xlfn.XLOOKUP(Tabla15[[#This Row],[GPS]],Hoja3!A:A,Hoja3!B:B)</f>
        <v>CAMIONETA</v>
      </c>
      <c r="B306" s="11" t="str">
        <f>_xlfn.XLOOKUP(GPS!D306,Hoja3!A:A,Hoja3!D:D)</f>
        <v>PETRÓLEO</v>
      </c>
      <c r="C306" s="12" t="str">
        <f>_xlfn.XLOOKUP(Tabla15[[#This Row],[GPS]],Hoja3!A:A,Hoja3!C:C)</f>
        <v>CAMPO RULO</v>
      </c>
      <c r="D306" s="12" t="s">
        <v>135</v>
      </c>
      <c r="E306" s="13">
        <v>46132</v>
      </c>
      <c r="F306" s="11">
        <v>2.0571999999999999</v>
      </c>
      <c r="G306" s="11">
        <v>22.57</v>
      </c>
      <c r="H306" s="11">
        <v>1</v>
      </c>
      <c r="I306" s="11">
        <v>17.132200000000001</v>
      </c>
      <c r="J306" s="11">
        <v>63</v>
      </c>
      <c r="K306" s="11">
        <v>0.26</v>
      </c>
      <c r="L306" s="15">
        <f t="shared" si="4"/>
        <v>2.5077777777777777</v>
      </c>
      <c r="M306" s="14">
        <f>IF(Tabla15[[#This Row],[COMBUSTIBLE]]="PETRÓLEO",L306*$Q$2,L306*$Q$4)</f>
        <v>3011.8411111111109</v>
      </c>
      <c r="N306" s="12" t="str">
        <f>IF(OR(WEEKDAY(Tabla15[[#This Row],[Fecha]],2)=6,WEEKDAY(Tabla15[[#This Row],[Fecha]],2)=7),"Fin de semana","Semana")</f>
        <v>Semana</v>
      </c>
    </row>
    <row r="307" spans="1:14" ht="12.75" customHeight="1" x14ac:dyDescent="0.25">
      <c r="A307" s="11" t="str">
        <f>_xlfn.XLOOKUP(Tabla15[[#This Row],[GPS]],Hoja3!A:A,Hoja3!B:B)</f>
        <v>TRACTOR</v>
      </c>
      <c r="B307" s="11" t="str">
        <f>_xlfn.XLOOKUP(GPS!D307,Hoja3!A:A,Hoja3!D:D)</f>
        <v>PETRÓLEO</v>
      </c>
      <c r="C307" s="12" t="str">
        <f>_xlfn.XLOOKUP(Tabla15[[#This Row],[GPS]],Hoja3!A:A,Hoja3!C:C)</f>
        <v>T5</v>
      </c>
      <c r="D307" s="12" t="s">
        <v>24</v>
      </c>
      <c r="E307" s="13">
        <v>46132</v>
      </c>
      <c r="F307" s="11">
        <v>1.3119000000000001</v>
      </c>
      <c r="G307" s="11">
        <v>4.6500000000000004</v>
      </c>
      <c r="H307" s="11">
        <v>1</v>
      </c>
      <c r="I307" s="11">
        <v>7.7022000000000004</v>
      </c>
      <c r="J307" s="11">
        <v>22.909199999999998</v>
      </c>
      <c r="K307" s="11">
        <v>0.16</v>
      </c>
      <c r="L307" s="15">
        <f t="shared" si="4"/>
        <v>0.77500000000000002</v>
      </c>
      <c r="M307" s="14">
        <f>IF(Tabla15[[#This Row],[COMBUSTIBLE]]="PETRÓLEO",L307*$Q$2,L307*$Q$4)</f>
        <v>930.77499999999998</v>
      </c>
      <c r="N307" s="12" t="str">
        <f>IF(OR(WEEKDAY(Tabla15[[#This Row],[Fecha]],2)=6,WEEKDAY(Tabla15[[#This Row],[Fecha]],2)=7),"Fin de semana","Semana")</f>
        <v>Semana</v>
      </c>
    </row>
    <row r="308" spans="1:14" ht="12.75" customHeight="1" x14ac:dyDescent="0.25">
      <c r="A308" s="11" t="str">
        <f>_xlfn.XLOOKUP(Tabla15[[#This Row],[GPS]],Hoja3!A:A,Hoja3!B:B)</f>
        <v>CAMIONETA</v>
      </c>
      <c r="B308" s="11" t="str">
        <f>_xlfn.XLOOKUP(GPS!D308,Hoja3!A:A,Hoja3!D:D)</f>
        <v>PETRÓLEO</v>
      </c>
      <c r="C308" s="12" t="str">
        <f>_xlfn.XLOOKUP(Tabla15[[#This Row],[GPS]],Hoja3!A:A,Hoja3!C:C)</f>
        <v>GONZALO GUERRERO</v>
      </c>
      <c r="D308" s="12" t="s">
        <v>126</v>
      </c>
      <c r="E308" s="13">
        <v>46132</v>
      </c>
      <c r="F308" s="11">
        <v>1.2081</v>
      </c>
      <c r="G308" s="11">
        <v>28.28</v>
      </c>
      <c r="H308" s="11">
        <v>1</v>
      </c>
      <c r="I308" s="11">
        <v>28.634499999999999</v>
      </c>
      <c r="J308" s="11">
        <v>127.69540000000001</v>
      </c>
      <c r="K308" s="11">
        <v>0.15</v>
      </c>
      <c r="L308" s="15">
        <f t="shared" si="4"/>
        <v>3.1422222222222222</v>
      </c>
      <c r="M308" s="14">
        <f>IF(Tabla15[[#This Row],[COMBUSTIBLE]]="PETRÓLEO",L308*$Q$2,L308*$Q$4)</f>
        <v>3773.8088888888888</v>
      </c>
      <c r="N308" s="12" t="str">
        <f>IF(OR(WEEKDAY(Tabla15[[#This Row],[Fecha]],2)=6,WEEKDAY(Tabla15[[#This Row],[Fecha]],2)=7),"Fin de semana","Semana")</f>
        <v>Semana</v>
      </c>
    </row>
    <row r="309" spans="1:14" ht="12.75" customHeight="1" x14ac:dyDescent="0.25">
      <c r="A309" s="11" t="str">
        <f>_xlfn.XLOOKUP(Tabla15[[#This Row],[GPS]],Hoja3!A:A,Hoja3!B:B)</f>
        <v>CAMIONETA</v>
      </c>
      <c r="B309" s="11" t="str">
        <f>_xlfn.XLOOKUP(GPS!D309,Hoja3!A:A,Hoja3!D:D)</f>
        <v>PETRÓLEO</v>
      </c>
      <c r="C309" s="12" t="str">
        <f>_xlfn.XLOOKUP(Tabla15[[#This Row],[GPS]],Hoja3!A:A,Hoja3!C:C)</f>
        <v>CAMPO PAINE</v>
      </c>
      <c r="D309" s="12" t="s">
        <v>131</v>
      </c>
      <c r="E309" s="13">
        <v>46132</v>
      </c>
      <c r="F309" s="11">
        <v>0.93559999999999999</v>
      </c>
      <c r="G309" s="11">
        <v>38.65</v>
      </c>
      <c r="H309" s="11">
        <v>1</v>
      </c>
      <c r="I309" s="11">
        <v>40.629199999999997</v>
      </c>
      <c r="J309" s="11">
        <v>101.0001</v>
      </c>
      <c r="K309" s="11">
        <v>0.12</v>
      </c>
      <c r="L309" s="15">
        <f t="shared" si="4"/>
        <v>4.2944444444444443</v>
      </c>
      <c r="M309" s="14">
        <f>IF(Tabla15[[#This Row],[COMBUSTIBLE]]="PETRÓLEO",L309*$Q$2,L309*$Q$4)</f>
        <v>5157.6277777777777</v>
      </c>
      <c r="N309" s="12" t="str">
        <f>IF(OR(WEEKDAY(Tabla15[[#This Row],[Fecha]],2)=6,WEEKDAY(Tabla15[[#This Row],[Fecha]],2)=7),"Fin de semana","Semana")</f>
        <v>Semana</v>
      </c>
    </row>
    <row r="310" spans="1:14" ht="12.75" customHeight="1" x14ac:dyDescent="0.25">
      <c r="A310" s="11" t="str">
        <f>_xlfn.XLOOKUP(Tabla15[[#This Row],[GPS]],Hoja3!A:A,Hoja3!B:B)</f>
        <v>TRACTOR</v>
      </c>
      <c r="B310" s="11" t="str">
        <f>_xlfn.XLOOKUP(GPS!D310,Hoja3!A:A,Hoja3!D:D)</f>
        <v>PETRÓLEO</v>
      </c>
      <c r="C310" s="12" t="str">
        <f>_xlfn.XLOOKUP(Tabla15[[#This Row],[GPS]],Hoja3!A:A,Hoja3!C:C)</f>
        <v>T4</v>
      </c>
      <c r="D310" s="12" t="s">
        <v>23</v>
      </c>
      <c r="E310" s="13">
        <v>46132</v>
      </c>
      <c r="F310" s="11">
        <v>1.1000000000000001E-3</v>
      </c>
      <c r="G310" s="11">
        <v>0.02</v>
      </c>
      <c r="H310" s="11">
        <v>0</v>
      </c>
      <c r="I310" s="11">
        <v>17.0199</v>
      </c>
      <c r="J310" s="11">
        <v>17.0199</v>
      </c>
      <c r="K310" s="11">
        <v>0</v>
      </c>
      <c r="L310" s="15">
        <f t="shared" si="4"/>
        <v>3.3333333333333335E-3</v>
      </c>
      <c r="M310" s="14">
        <f>IF(Tabla15[[#This Row],[COMBUSTIBLE]]="PETRÓLEO",L310*$Q$2,L310*$Q$4)</f>
        <v>4.0033333333333339</v>
      </c>
      <c r="N310" s="12" t="str">
        <f>IF(OR(WEEKDAY(Tabla15[[#This Row],[Fecha]],2)=6,WEEKDAY(Tabla15[[#This Row],[Fecha]],2)=7),"Fin de semana","Semana")</f>
        <v>Semana</v>
      </c>
    </row>
    <row r="311" spans="1:14" ht="12.75" customHeight="1" x14ac:dyDescent="0.25">
      <c r="A311" s="11" t="str">
        <f>_xlfn.XLOOKUP(Tabla15[[#This Row],[GPS]],Hoja3!A:A,Hoja3!B:B)</f>
        <v>CAMIONETA</v>
      </c>
      <c r="B311" s="11" t="str">
        <f>_xlfn.XLOOKUP(GPS!D311,Hoja3!A:A,Hoja3!D:D)</f>
        <v>BENCINA</v>
      </c>
      <c r="C311" s="12" t="str">
        <f>_xlfn.XLOOKUP(Tabla15[[#This Row],[GPS]],Hoja3!A:A,Hoja3!C:C)</f>
        <v>VG CERRILLOS</v>
      </c>
      <c r="D311" s="12" t="s">
        <v>137</v>
      </c>
      <c r="E311" s="13">
        <v>46132</v>
      </c>
      <c r="F311" s="11">
        <v>0</v>
      </c>
      <c r="G311" s="11">
        <v>3.35</v>
      </c>
      <c r="H311" s="11">
        <v>1</v>
      </c>
      <c r="I311" s="11">
        <v>9.1601999999999997</v>
      </c>
      <c r="J311" s="11">
        <v>29.094899999999999</v>
      </c>
      <c r="K311" s="11">
        <v>0</v>
      </c>
      <c r="L311" s="15">
        <f t="shared" si="4"/>
        <v>0.30454545454545456</v>
      </c>
      <c r="M311" s="14">
        <f>IF(Tabla15[[#This Row],[COMBUSTIBLE]]="PETRÓLEO",L311*$Q$2,L311*$Q$4)</f>
        <v>472.04545454545456</v>
      </c>
      <c r="N311" s="12" t="str">
        <f>IF(OR(WEEKDAY(Tabla15[[#This Row],[Fecha]],2)=6,WEEKDAY(Tabla15[[#This Row],[Fecha]],2)=7),"Fin de semana","Semana")</f>
        <v>Semana</v>
      </c>
    </row>
    <row r="312" spans="1:14" ht="12.75" customHeight="1" x14ac:dyDescent="0.25">
      <c r="A312" s="11" t="str">
        <f>_xlfn.XLOOKUP(Tabla15[[#This Row],[GPS]],Hoja3!A:A,Hoja3!B:B)</f>
        <v>CAMIONETA</v>
      </c>
      <c r="B312" s="11" t="str">
        <f>_xlfn.XLOOKUP(GPS!D312,Hoja3!A:A,Hoja3!D:D)</f>
        <v>BENCINA</v>
      </c>
      <c r="C312" s="12" t="str">
        <f>_xlfn.XLOOKUP(Tabla15[[#This Row],[GPS]],Hoja3!A:A,Hoja3!C:C)</f>
        <v>VG PIÑALEO</v>
      </c>
      <c r="D312" s="12" t="s">
        <v>114</v>
      </c>
      <c r="E312" s="13">
        <v>46132</v>
      </c>
      <c r="F312" s="11">
        <v>0</v>
      </c>
      <c r="G312" s="11">
        <v>40.270000000000003</v>
      </c>
      <c r="H312" s="11">
        <v>1</v>
      </c>
      <c r="I312" s="11">
        <v>30.973299999999998</v>
      </c>
      <c r="J312" s="11">
        <v>102.9897</v>
      </c>
      <c r="K312" s="11">
        <v>0</v>
      </c>
      <c r="L312" s="15">
        <f t="shared" si="4"/>
        <v>3.6609090909090911</v>
      </c>
      <c r="M312" s="14">
        <f>IF(Tabla15[[#This Row],[COMBUSTIBLE]]="PETRÓLEO",L312*$Q$2,L312*$Q$4)</f>
        <v>5674.409090909091</v>
      </c>
      <c r="N312" s="12" t="str">
        <f>IF(OR(WEEKDAY(Tabla15[[#This Row],[Fecha]],2)=6,WEEKDAY(Tabla15[[#This Row],[Fecha]],2)=7),"Fin de semana","Semana")</f>
        <v>Semana</v>
      </c>
    </row>
    <row r="313" spans="1:14" ht="12.75" customHeight="1" x14ac:dyDescent="0.25">
      <c r="A313" s="11" t="str">
        <f>_xlfn.XLOOKUP(Tabla15[[#This Row],[GPS]],Hoja3!A:A,Hoja3!B:B)</f>
        <v>CAMIONETA</v>
      </c>
      <c r="B313" s="11" t="str">
        <f>_xlfn.XLOOKUP(GPS!D313,Hoja3!A:A,Hoja3!D:D)</f>
        <v>PETRÓLEO</v>
      </c>
      <c r="C313" s="12" t="str">
        <f>_xlfn.XLOOKUP(Tabla15[[#This Row],[GPS]],Hoja3!A:A,Hoja3!C:C)</f>
        <v>SERGIO ROJAS</v>
      </c>
      <c r="D313" s="12" t="s">
        <v>128</v>
      </c>
      <c r="E313" s="13">
        <v>46132</v>
      </c>
      <c r="F313" s="11">
        <v>0</v>
      </c>
      <c r="G313" s="11">
        <v>27.18</v>
      </c>
      <c r="H313" s="11">
        <v>1</v>
      </c>
      <c r="I313" s="11">
        <v>25.060500000000001</v>
      </c>
      <c r="J313" s="11">
        <v>82.000100000000003</v>
      </c>
      <c r="K313" s="11">
        <v>0</v>
      </c>
      <c r="L313" s="15">
        <f t="shared" si="4"/>
        <v>3.02</v>
      </c>
      <c r="M313" s="14">
        <f>IF(Tabla15[[#This Row],[COMBUSTIBLE]]="PETRÓLEO",L313*$Q$2,L313*$Q$4)</f>
        <v>3627.02</v>
      </c>
      <c r="N313" s="12" t="str">
        <f>IF(OR(WEEKDAY(Tabla15[[#This Row],[Fecha]],2)=6,WEEKDAY(Tabla15[[#This Row],[Fecha]],2)=7),"Fin de semana","Semana")</f>
        <v>Semana</v>
      </c>
    </row>
    <row r="314" spans="1:14" ht="12.75" customHeight="1" x14ac:dyDescent="0.25">
      <c r="A314" s="11" t="str">
        <f>_xlfn.XLOOKUP(Tabla15[[#This Row],[GPS]],Hoja3!A:A,Hoja3!B:B)</f>
        <v>CAMIONETA</v>
      </c>
      <c r="B314" s="11" t="str">
        <f>_xlfn.XLOOKUP(GPS!D314,Hoja3!A:A,Hoja3!D:D)</f>
        <v>BENCINA</v>
      </c>
      <c r="C314" s="12" t="str">
        <f>_xlfn.XLOOKUP(Tabla15[[#This Row],[GPS]],Hoja3!A:A,Hoja3!C:C)</f>
        <v>VG GERARDO</v>
      </c>
      <c r="D314" s="12" t="s">
        <v>118</v>
      </c>
      <c r="E314" s="13">
        <v>46132</v>
      </c>
      <c r="F314" s="11">
        <v>0</v>
      </c>
      <c r="G314" s="11">
        <v>51.71</v>
      </c>
      <c r="H314" s="11">
        <v>1</v>
      </c>
      <c r="I314" s="11">
        <v>31.105799999999999</v>
      </c>
      <c r="J314" s="11">
        <v>104.2306</v>
      </c>
      <c r="K314" s="11">
        <v>0</v>
      </c>
      <c r="L314" s="15">
        <f t="shared" si="4"/>
        <v>4.7009090909090911</v>
      </c>
      <c r="M314" s="14">
        <f>IF(Tabla15[[#This Row],[COMBUSTIBLE]]="PETRÓLEO",L314*$Q$2,L314*$Q$4)</f>
        <v>7286.409090909091</v>
      </c>
      <c r="N314" s="12" t="str">
        <f>IF(OR(WEEKDAY(Tabla15[[#This Row],[Fecha]],2)=6,WEEKDAY(Tabla15[[#This Row],[Fecha]],2)=7),"Fin de semana","Semana")</f>
        <v>Semana</v>
      </c>
    </row>
    <row r="315" spans="1:14" ht="12.75" customHeight="1" x14ac:dyDescent="0.25">
      <c r="A315" s="11" t="str">
        <f>_xlfn.XLOOKUP(Tabla15[[#This Row],[GPS]],Hoja3!A:A,Hoja3!B:B)</f>
        <v>TRACTOR</v>
      </c>
      <c r="B315" s="11" t="str">
        <f>_xlfn.XLOOKUP(GPS!D315,Hoja3!A:A,Hoja3!D:D)</f>
        <v>PETRÓLEO</v>
      </c>
      <c r="C315" s="12" t="str">
        <f>_xlfn.XLOOKUP(Tabla15[[#This Row],[GPS]],Hoja3!A:A,Hoja3!C:C)</f>
        <v>T7</v>
      </c>
      <c r="D315" s="12" t="s">
        <v>26</v>
      </c>
      <c r="E315" s="13">
        <v>46133</v>
      </c>
      <c r="F315" s="11">
        <v>7.6489000000000003</v>
      </c>
      <c r="G315" s="11">
        <v>19.36</v>
      </c>
      <c r="H315" s="11">
        <v>1</v>
      </c>
      <c r="I315" s="11">
        <v>6.1079999999999997</v>
      </c>
      <c r="J315" s="11">
        <v>27.9467</v>
      </c>
      <c r="K315" s="11">
        <v>0.96</v>
      </c>
      <c r="L315" s="15">
        <f t="shared" si="4"/>
        <v>3.2266666666666666</v>
      </c>
      <c r="M315" s="14">
        <f>IF(Tabla15[[#This Row],[COMBUSTIBLE]]="PETRÓLEO",L315*$Q$2,L315*$Q$4)</f>
        <v>3875.2266666666665</v>
      </c>
      <c r="N315" s="12" t="str">
        <f>IF(OR(WEEKDAY(Tabla15[[#This Row],[Fecha]],2)=6,WEEKDAY(Tabla15[[#This Row],[Fecha]],2)=7),"Fin de semana","Semana")</f>
        <v>Semana</v>
      </c>
    </row>
    <row r="316" spans="1:14" ht="12.75" customHeight="1" x14ac:dyDescent="0.25">
      <c r="A316" s="11" t="str">
        <f>_xlfn.XLOOKUP(Tabla15[[#This Row],[GPS]],Hoja3!A:A,Hoja3!B:B)</f>
        <v>TRACTOR</v>
      </c>
      <c r="B316" s="11" t="str">
        <f>_xlfn.XLOOKUP(GPS!D316,Hoja3!A:A,Hoja3!D:D)</f>
        <v>PETRÓLEO</v>
      </c>
      <c r="C316" s="12" t="str">
        <f>_xlfn.XLOOKUP(Tabla15[[#This Row],[GPS]],Hoja3!A:A,Hoja3!C:C)</f>
        <v>T14</v>
      </c>
      <c r="D316" s="12" t="s">
        <v>21</v>
      </c>
      <c r="E316" s="13">
        <v>46133</v>
      </c>
      <c r="F316" s="11">
        <v>7.2567000000000004</v>
      </c>
      <c r="G316" s="11">
        <v>26.56</v>
      </c>
      <c r="H316" s="11">
        <v>1</v>
      </c>
      <c r="I316" s="11">
        <v>6.1010999999999997</v>
      </c>
      <c r="J316" s="11">
        <v>57.2453</v>
      </c>
      <c r="K316" s="11">
        <v>0.91</v>
      </c>
      <c r="L316" s="15">
        <f t="shared" si="4"/>
        <v>4.4266666666666667</v>
      </c>
      <c r="M316" s="14">
        <f>IF(Tabla15[[#This Row],[COMBUSTIBLE]]="PETRÓLEO",L316*$Q$2,L316*$Q$4)</f>
        <v>5316.4266666666672</v>
      </c>
      <c r="N316" s="12" t="str">
        <f>IF(OR(WEEKDAY(Tabla15[[#This Row],[Fecha]],2)=6,WEEKDAY(Tabla15[[#This Row],[Fecha]],2)=7),"Fin de semana","Semana")</f>
        <v>Semana</v>
      </c>
    </row>
    <row r="317" spans="1:14" ht="12.75" customHeight="1" x14ac:dyDescent="0.25">
      <c r="A317" s="11" t="str">
        <f>_xlfn.XLOOKUP(Tabla15[[#This Row],[GPS]],Hoja3!A:A,Hoja3!B:B)</f>
        <v>TRACTOR</v>
      </c>
      <c r="B317" s="11" t="str">
        <f>_xlfn.XLOOKUP(GPS!D317,Hoja3!A:A,Hoja3!D:D)</f>
        <v>PETRÓLEO</v>
      </c>
      <c r="C317" s="12" t="str">
        <f>_xlfn.XLOOKUP(Tabla15[[#This Row],[GPS]],Hoja3!A:A,Hoja3!C:C)</f>
        <v>T13</v>
      </c>
      <c r="D317" s="12" t="s">
        <v>19</v>
      </c>
      <c r="E317" s="13">
        <v>46133</v>
      </c>
      <c r="F317" s="11">
        <v>7.2382999999999997</v>
      </c>
      <c r="G317" s="11">
        <v>22.69</v>
      </c>
      <c r="H317" s="11">
        <v>1</v>
      </c>
      <c r="I317" s="11">
        <v>6.4132999999999996</v>
      </c>
      <c r="J317" s="11">
        <v>22.668500000000002</v>
      </c>
      <c r="K317" s="11">
        <v>0.9</v>
      </c>
      <c r="L317" s="15">
        <f t="shared" si="4"/>
        <v>3.7816666666666667</v>
      </c>
      <c r="M317" s="14">
        <f>IF(Tabla15[[#This Row],[COMBUSTIBLE]]="PETRÓLEO",L317*$Q$2,L317*$Q$4)</f>
        <v>4541.7816666666668</v>
      </c>
      <c r="N317" s="12" t="str">
        <f>IF(OR(WEEKDAY(Tabla15[[#This Row],[Fecha]],2)=6,WEEKDAY(Tabla15[[#This Row],[Fecha]],2)=7),"Fin de semana","Semana")</f>
        <v>Semana</v>
      </c>
    </row>
    <row r="318" spans="1:14" ht="12.75" customHeight="1" x14ac:dyDescent="0.25">
      <c r="A318" s="11" t="str">
        <f>_xlfn.XLOOKUP(Tabla15[[#This Row],[GPS]],Hoja3!A:A,Hoja3!B:B)</f>
        <v>TRACTOR</v>
      </c>
      <c r="B318" s="11" t="str">
        <f>_xlfn.XLOOKUP(GPS!D318,Hoja3!A:A,Hoja3!D:D)</f>
        <v>PETRÓLEO</v>
      </c>
      <c r="C318" s="12" t="str">
        <f>_xlfn.XLOOKUP(Tabla15[[#This Row],[GPS]],Hoja3!A:A,Hoja3!C:C)</f>
        <v>T5</v>
      </c>
      <c r="D318" s="12" t="s">
        <v>24</v>
      </c>
      <c r="E318" s="13">
        <v>46133</v>
      </c>
      <c r="F318" s="11">
        <v>6.7774999999999999</v>
      </c>
      <c r="G318" s="11">
        <v>23.36</v>
      </c>
      <c r="H318" s="11">
        <v>1</v>
      </c>
      <c r="I318" s="11">
        <v>5.6154999999999999</v>
      </c>
      <c r="J318" s="11">
        <v>28.372599999999998</v>
      </c>
      <c r="K318" s="11">
        <v>0.85</v>
      </c>
      <c r="L318" s="15">
        <f t="shared" si="4"/>
        <v>3.8933333333333331</v>
      </c>
      <c r="M318" s="14">
        <f>IF(Tabla15[[#This Row],[COMBUSTIBLE]]="PETRÓLEO",L318*$Q$2,L318*$Q$4)</f>
        <v>4675.8933333333334</v>
      </c>
      <c r="N318" s="12" t="str">
        <f>IF(OR(WEEKDAY(Tabla15[[#This Row],[Fecha]],2)=6,WEEKDAY(Tabla15[[#This Row],[Fecha]],2)=7),"Fin de semana","Semana")</f>
        <v>Semana</v>
      </c>
    </row>
    <row r="319" spans="1:14" ht="12.75" customHeight="1" x14ac:dyDescent="0.25">
      <c r="A319" s="11" t="str">
        <f>_xlfn.XLOOKUP(Tabla15[[#This Row],[GPS]],Hoja3!A:A,Hoja3!B:B)</f>
        <v>CAMIONETA</v>
      </c>
      <c r="B319" s="11" t="str">
        <f>_xlfn.XLOOKUP(GPS!D319,Hoja3!A:A,Hoja3!D:D)</f>
        <v>PETRÓLEO</v>
      </c>
      <c r="C319" s="12" t="str">
        <f>_xlfn.XLOOKUP(Tabla15[[#This Row],[GPS]],Hoja3!A:A,Hoja3!C:C)</f>
        <v>RODRIGO SALINAS</v>
      </c>
      <c r="D319" s="12" t="s">
        <v>109</v>
      </c>
      <c r="E319" s="13">
        <v>46133</v>
      </c>
      <c r="F319" s="11">
        <v>4.2146999999999997</v>
      </c>
      <c r="G319" s="11">
        <v>157.08000000000001</v>
      </c>
      <c r="H319" s="11">
        <v>1</v>
      </c>
      <c r="I319" s="11">
        <v>40.223799999999997</v>
      </c>
      <c r="J319" s="11">
        <v>172.0138</v>
      </c>
      <c r="K319" s="11">
        <v>0.53</v>
      </c>
      <c r="L319" s="15">
        <f t="shared" si="4"/>
        <v>17.453333333333333</v>
      </c>
      <c r="M319" s="14">
        <f>IF(Tabla15[[#This Row],[COMBUSTIBLE]]="PETRÓLEO",L319*$Q$2,L319*$Q$4)</f>
        <v>20961.453333333335</v>
      </c>
      <c r="N319" s="12" t="str">
        <f>IF(OR(WEEKDAY(Tabla15[[#This Row],[Fecha]],2)=6,WEEKDAY(Tabla15[[#This Row],[Fecha]],2)=7),"Fin de semana","Semana")</f>
        <v>Semana</v>
      </c>
    </row>
    <row r="320" spans="1:14" ht="12.75" customHeight="1" x14ac:dyDescent="0.25">
      <c r="A320" s="11" t="str">
        <f>_xlfn.XLOOKUP(Tabla15[[#This Row],[GPS]],Hoja3!A:A,Hoja3!B:B)</f>
        <v>CAMIONETA</v>
      </c>
      <c r="B320" s="11" t="str">
        <f>_xlfn.XLOOKUP(GPS!D320,Hoja3!A:A,Hoja3!D:D)</f>
        <v>PETRÓLEO</v>
      </c>
      <c r="C320" s="12" t="str">
        <f>_xlfn.XLOOKUP(Tabla15[[#This Row],[GPS]],Hoja3!A:A,Hoja3!C:C)</f>
        <v>CAMPO CERRILLOS</v>
      </c>
      <c r="D320" s="12" t="s">
        <v>121</v>
      </c>
      <c r="E320" s="13">
        <v>46133</v>
      </c>
      <c r="F320" s="11">
        <v>3.4897</v>
      </c>
      <c r="G320" s="11">
        <v>26.32</v>
      </c>
      <c r="H320" s="11">
        <v>1</v>
      </c>
      <c r="I320" s="11">
        <v>13.7334</v>
      </c>
      <c r="J320" s="11">
        <v>40.000100000000003</v>
      </c>
      <c r="K320" s="11">
        <v>0.44</v>
      </c>
      <c r="L320" s="15">
        <f t="shared" si="4"/>
        <v>2.9244444444444446</v>
      </c>
      <c r="M320" s="14">
        <f>IF(Tabla15[[#This Row],[COMBUSTIBLE]]="PETRÓLEO",L320*$Q$2,L320*$Q$4)</f>
        <v>3512.2577777777778</v>
      </c>
      <c r="N320" s="12" t="str">
        <f>IF(OR(WEEKDAY(Tabla15[[#This Row],[Fecha]],2)=6,WEEKDAY(Tabla15[[#This Row],[Fecha]],2)=7),"Fin de semana","Semana")</f>
        <v>Semana</v>
      </c>
    </row>
    <row r="321" spans="1:14" ht="12.75" customHeight="1" x14ac:dyDescent="0.25">
      <c r="A321" s="11" t="str">
        <f>_xlfn.XLOOKUP(Tabla15[[#This Row],[GPS]],Hoja3!A:A,Hoja3!B:B)</f>
        <v>TRACTOR</v>
      </c>
      <c r="B321" s="11" t="str">
        <f>_xlfn.XLOOKUP(GPS!D321,Hoja3!A:A,Hoja3!D:D)</f>
        <v>PETRÓLEO</v>
      </c>
      <c r="C321" s="12" t="str">
        <f>_xlfn.XLOOKUP(Tabla15[[#This Row],[GPS]],Hoja3!A:A,Hoja3!C:C)</f>
        <v>T11</v>
      </c>
      <c r="D321" s="12" t="s">
        <v>15</v>
      </c>
      <c r="E321" s="13">
        <v>46133</v>
      </c>
      <c r="F321" s="11">
        <v>2.94</v>
      </c>
      <c r="G321" s="11">
        <v>9.51</v>
      </c>
      <c r="H321" s="11">
        <v>1</v>
      </c>
      <c r="I321" s="11">
        <v>4.8129</v>
      </c>
      <c r="J321" s="11">
        <v>26.817</v>
      </c>
      <c r="K321" s="11">
        <v>0.37</v>
      </c>
      <c r="L321" s="15">
        <f t="shared" si="4"/>
        <v>1.585</v>
      </c>
      <c r="M321" s="14">
        <f>IF(Tabla15[[#This Row],[COMBUSTIBLE]]="PETRÓLEO",L321*$Q$2,L321*$Q$4)</f>
        <v>1903.585</v>
      </c>
      <c r="N321" s="12" t="str">
        <f>IF(OR(WEEKDAY(Tabla15[[#This Row],[Fecha]],2)=6,WEEKDAY(Tabla15[[#This Row],[Fecha]],2)=7),"Fin de semana","Semana")</f>
        <v>Semana</v>
      </c>
    </row>
    <row r="322" spans="1:14" ht="12.75" customHeight="1" x14ac:dyDescent="0.25">
      <c r="A322" s="11" t="str">
        <f>_xlfn.XLOOKUP(Tabla15[[#This Row],[GPS]],Hoja3!A:A,Hoja3!B:B)</f>
        <v>TRACTOR</v>
      </c>
      <c r="B322" s="11" t="str">
        <f>_xlfn.XLOOKUP(GPS!D322,Hoja3!A:A,Hoja3!D:D)</f>
        <v>PETRÓLEO</v>
      </c>
      <c r="C322" s="12" t="str">
        <f>_xlfn.XLOOKUP(Tabla15[[#This Row],[GPS]],Hoja3!A:A,Hoja3!C:C)</f>
        <v>T8</v>
      </c>
      <c r="D322" s="12" t="s">
        <v>27</v>
      </c>
      <c r="E322" s="13">
        <v>46133</v>
      </c>
      <c r="F322" s="11">
        <v>2.7132999999999998</v>
      </c>
      <c r="G322" s="11">
        <v>15.61</v>
      </c>
      <c r="H322" s="11">
        <v>1</v>
      </c>
      <c r="I322" s="11">
        <v>9.1334999999999997</v>
      </c>
      <c r="J322" s="11">
        <v>66.949799999999996</v>
      </c>
      <c r="K322" s="11">
        <v>0.34</v>
      </c>
      <c r="L322" s="15">
        <f t="shared" ref="L322:L385" si="5">IF(AND(A322="CAMIONETA",B322="BENCINA"),G322/$Q$5,IF(A322="TRACTOR",G322/$Q$3,G322/$Q$1))</f>
        <v>2.6016666666666666</v>
      </c>
      <c r="M322" s="14">
        <f>IF(Tabla15[[#This Row],[COMBUSTIBLE]]="PETRÓLEO",L322*$Q$2,L322*$Q$4)</f>
        <v>3124.6016666666665</v>
      </c>
      <c r="N322" s="12" t="str">
        <f>IF(OR(WEEKDAY(Tabla15[[#This Row],[Fecha]],2)=6,WEEKDAY(Tabla15[[#This Row],[Fecha]],2)=7),"Fin de semana","Semana")</f>
        <v>Semana</v>
      </c>
    </row>
    <row r="323" spans="1:14" ht="12.75" customHeight="1" x14ac:dyDescent="0.25">
      <c r="A323" s="11" t="str">
        <f>_xlfn.XLOOKUP(Tabla15[[#This Row],[GPS]],Hoja3!A:A,Hoja3!B:B)</f>
        <v>CAMIONETA</v>
      </c>
      <c r="B323" s="11" t="str">
        <f>_xlfn.XLOOKUP(GPS!D323,Hoja3!A:A,Hoja3!D:D)</f>
        <v>PETRÓLEO</v>
      </c>
      <c r="C323" s="12" t="str">
        <f>_xlfn.XLOOKUP(Tabla15[[#This Row],[GPS]],Hoja3!A:A,Hoja3!C:C)</f>
        <v>CAMPO RULO</v>
      </c>
      <c r="D323" s="12" t="s">
        <v>135</v>
      </c>
      <c r="E323" s="13">
        <v>46133</v>
      </c>
      <c r="F323" s="11">
        <v>2.6657999999999999</v>
      </c>
      <c r="G323" s="11">
        <v>36.770000000000003</v>
      </c>
      <c r="H323" s="11">
        <v>1</v>
      </c>
      <c r="I323" s="11">
        <v>17.740600000000001</v>
      </c>
      <c r="J323" s="11">
        <v>81.673199999999994</v>
      </c>
      <c r="K323" s="11">
        <v>0.33</v>
      </c>
      <c r="L323" s="15">
        <f t="shared" si="5"/>
        <v>4.0855555555555556</v>
      </c>
      <c r="M323" s="14">
        <f>IF(Tabla15[[#This Row],[COMBUSTIBLE]]="PETRÓLEO",L323*$Q$2,L323*$Q$4)</f>
        <v>4906.7522222222224</v>
      </c>
      <c r="N323" s="12" t="str">
        <f>IF(OR(WEEKDAY(Tabla15[[#This Row],[Fecha]],2)=6,WEEKDAY(Tabla15[[#This Row],[Fecha]],2)=7),"Fin de semana","Semana")</f>
        <v>Semana</v>
      </c>
    </row>
    <row r="324" spans="1:14" ht="12.75" customHeight="1" x14ac:dyDescent="0.25">
      <c r="A324" s="11" t="str">
        <f>_xlfn.XLOOKUP(Tabla15[[#This Row],[GPS]],Hoja3!A:A,Hoja3!B:B)</f>
        <v>CAMIONETA</v>
      </c>
      <c r="B324" s="11" t="str">
        <f>_xlfn.XLOOKUP(GPS!D324,Hoja3!A:A,Hoja3!D:D)</f>
        <v>PETRÓLEO</v>
      </c>
      <c r="C324" s="12" t="str">
        <f>_xlfn.XLOOKUP(Tabla15[[#This Row],[GPS]],Hoja3!A:A,Hoja3!C:C)</f>
        <v>CAMPO PAINE</v>
      </c>
      <c r="D324" s="12" t="s">
        <v>131</v>
      </c>
      <c r="E324" s="13">
        <v>46133</v>
      </c>
      <c r="F324" s="11">
        <v>2.1444000000000001</v>
      </c>
      <c r="G324" s="11">
        <v>6.13</v>
      </c>
      <c r="H324" s="11">
        <v>1</v>
      </c>
      <c r="I324" s="11">
        <v>9.02</v>
      </c>
      <c r="J324" s="11">
        <v>63.2273</v>
      </c>
      <c r="K324" s="11">
        <v>0.27</v>
      </c>
      <c r="L324" s="15">
        <f t="shared" si="5"/>
        <v>0.68111111111111111</v>
      </c>
      <c r="M324" s="14">
        <f>IF(Tabla15[[#This Row],[COMBUSTIBLE]]="PETRÓLEO",L324*$Q$2,L324*$Q$4)</f>
        <v>818.01444444444439</v>
      </c>
      <c r="N324" s="12" t="str">
        <f>IF(OR(WEEKDAY(Tabla15[[#This Row],[Fecha]],2)=6,WEEKDAY(Tabla15[[#This Row],[Fecha]],2)=7),"Fin de semana","Semana")</f>
        <v>Semana</v>
      </c>
    </row>
    <row r="325" spans="1:14" ht="12.75" customHeight="1" x14ac:dyDescent="0.25">
      <c r="A325" s="11" t="str">
        <f>_xlfn.XLOOKUP(Tabla15[[#This Row],[GPS]],Hoja3!A:A,Hoja3!B:B)</f>
        <v>CAMIONETA</v>
      </c>
      <c r="B325" s="11" t="str">
        <f>_xlfn.XLOOKUP(GPS!D325,Hoja3!A:A,Hoja3!D:D)</f>
        <v>PETRÓLEO</v>
      </c>
      <c r="C325" s="12" t="str">
        <f>_xlfn.XLOOKUP(Tabla15[[#This Row],[GPS]],Hoja3!A:A,Hoja3!C:C)</f>
        <v>GONZALO GUERRERO</v>
      </c>
      <c r="D325" s="12" t="s">
        <v>126</v>
      </c>
      <c r="E325" s="13">
        <v>46133</v>
      </c>
      <c r="F325" s="11">
        <v>1.9524999999999999</v>
      </c>
      <c r="G325" s="11">
        <v>57</v>
      </c>
      <c r="H325" s="11">
        <v>1</v>
      </c>
      <c r="I325" s="11">
        <v>33.304400000000001</v>
      </c>
      <c r="J325" s="11">
        <v>118</v>
      </c>
      <c r="K325" s="11">
        <v>0.24</v>
      </c>
      <c r="L325" s="15">
        <f t="shared" si="5"/>
        <v>6.333333333333333</v>
      </c>
      <c r="M325" s="14">
        <f>IF(Tabla15[[#This Row],[COMBUSTIBLE]]="PETRÓLEO",L325*$Q$2,L325*$Q$4)</f>
        <v>7606.333333333333</v>
      </c>
      <c r="N325" s="12" t="str">
        <f>IF(OR(WEEKDAY(Tabla15[[#This Row],[Fecha]],2)=6,WEEKDAY(Tabla15[[#This Row],[Fecha]],2)=7),"Fin de semana","Semana")</f>
        <v>Semana</v>
      </c>
    </row>
    <row r="326" spans="1:14" ht="12.75" customHeight="1" x14ac:dyDescent="0.25">
      <c r="A326" s="11" t="str">
        <f>_xlfn.XLOOKUP(Tabla15[[#This Row],[GPS]],Hoja3!A:A,Hoja3!B:B)</f>
        <v>CAMIONETA</v>
      </c>
      <c r="B326" s="11" t="str">
        <f>_xlfn.XLOOKUP(GPS!D326,Hoja3!A:A,Hoja3!D:D)</f>
        <v>BENCINA</v>
      </c>
      <c r="C326" s="12" t="str">
        <f>_xlfn.XLOOKUP(Tabla15[[#This Row],[GPS]],Hoja3!A:A,Hoja3!C:C)</f>
        <v>VG GERARDO</v>
      </c>
      <c r="D326" s="12" t="s">
        <v>118</v>
      </c>
      <c r="E326" s="13">
        <v>46133</v>
      </c>
      <c r="F326" s="11">
        <v>0</v>
      </c>
      <c r="G326" s="11">
        <v>19.649999999999999</v>
      </c>
      <c r="H326" s="11">
        <v>1</v>
      </c>
      <c r="I326" s="11">
        <v>23.045500000000001</v>
      </c>
      <c r="J326" s="11">
        <v>81.636200000000002</v>
      </c>
      <c r="K326" s="11">
        <v>0</v>
      </c>
      <c r="L326" s="15">
        <f t="shared" si="5"/>
        <v>1.7863636363636362</v>
      </c>
      <c r="M326" s="14">
        <f>IF(Tabla15[[#This Row],[COMBUSTIBLE]]="PETRÓLEO",L326*$Q$2,L326*$Q$4)</f>
        <v>2768.863636363636</v>
      </c>
      <c r="N326" s="12" t="str">
        <f>IF(OR(WEEKDAY(Tabla15[[#This Row],[Fecha]],2)=6,WEEKDAY(Tabla15[[#This Row],[Fecha]],2)=7),"Fin de semana","Semana")</f>
        <v>Semana</v>
      </c>
    </row>
    <row r="327" spans="1:14" ht="12.75" customHeight="1" x14ac:dyDescent="0.25">
      <c r="A327" s="11" t="str">
        <f>_xlfn.XLOOKUP(Tabla15[[#This Row],[GPS]],Hoja3!A:A,Hoja3!B:B)</f>
        <v>CAMIONETA</v>
      </c>
      <c r="B327" s="11" t="str">
        <f>_xlfn.XLOOKUP(GPS!D327,Hoja3!A:A,Hoja3!D:D)</f>
        <v>BENCINA</v>
      </c>
      <c r="C327" s="12" t="str">
        <f>_xlfn.XLOOKUP(Tabla15[[#This Row],[GPS]],Hoja3!A:A,Hoja3!C:C)</f>
        <v>VG PIÑALEO</v>
      </c>
      <c r="D327" s="12" t="s">
        <v>114</v>
      </c>
      <c r="E327" s="13">
        <v>46133</v>
      </c>
      <c r="F327" s="11">
        <v>0</v>
      </c>
      <c r="G327" s="11">
        <v>14.75</v>
      </c>
      <c r="H327" s="11">
        <v>1</v>
      </c>
      <c r="I327" s="11">
        <v>32.551000000000002</v>
      </c>
      <c r="J327" s="11">
        <v>79.710099999999997</v>
      </c>
      <c r="K327" s="11">
        <v>0</v>
      </c>
      <c r="L327" s="15">
        <f t="shared" si="5"/>
        <v>1.3409090909090908</v>
      </c>
      <c r="M327" s="14">
        <f>IF(Tabla15[[#This Row],[COMBUSTIBLE]]="PETRÓLEO",L327*$Q$2,L327*$Q$4)</f>
        <v>2078.409090909091</v>
      </c>
      <c r="N327" s="12" t="str">
        <f>IF(OR(WEEKDAY(Tabla15[[#This Row],[Fecha]],2)=6,WEEKDAY(Tabla15[[#This Row],[Fecha]],2)=7),"Fin de semana","Semana")</f>
        <v>Semana</v>
      </c>
    </row>
    <row r="328" spans="1:14" ht="12.75" customHeight="1" x14ac:dyDescent="0.25">
      <c r="A328" s="11" t="str">
        <f>_xlfn.XLOOKUP(Tabla15[[#This Row],[GPS]],Hoja3!A:A,Hoja3!B:B)</f>
        <v>CAMIONETA</v>
      </c>
      <c r="B328" s="11" t="str">
        <f>_xlfn.XLOOKUP(GPS!D328,Hoja3!A:A,Hoja3!D:D)</f>
        <v>BENCINA</v>
      </c>
      <c r="C328" s="12" t="str">
        <f>_xlfn.XLOOKUP(Tabla15[[#This Row],[GPS]],Hoja3!A:A,Hoja3!C:C)</f>
        <v>VG CERRILLOS</v>
      </c>
      <c r="D328" s="12" t="s">
        <v>137</v>
      </c>
      <c r="E328" s="13">
        <v>46133</v>
      </c>
      <c r="F328" s="11">
        <v>0</v>
      </c>
      <c r="G328" s="11">
        <v>28.26</v>
      </c>
      <c r="H328" s="11">
        <v>1</v>
      </c>
      <c r="I328" s="11">
        <v>10.4335</v>
      </c>
      <c r="J328" s="11">
        <v>49.189100000000003</v>
      </c>
      <c r="K328" s="11">
        <v>0</v>
      </c>
      <c r="L328" s="15">
        <f t="shared" si="5"/>
        <v>2.5690909090909093</v>
      </c>
      <c r="M328" s="14">
        <f>IF(Tabla15[[#This Row],[COMBUSTIBLE]]="PETRÓLEO",L328*$Q$2,L328*$Q$4)</f>
        <v>3982.0909090909095</v>
      </c>
      <c r="N328" s="12" t="str">
        <f>IF(OR(WEEKDAY(Tabla15[[#This Row],[Fecha]],2)=6,WEEKDAY(Tabla15[[#This Row],[Fecha]],2)=7),"Fin de semana","Semana")</f>
        <v>Semana</v>
      </c>
    </row>
    <row r="329" spans="1:14" ht="12.75" customHeight="1" x14ac:dyDescent="0.25">
      <c r="A329" s="11" t="str">
        <f>_xlfn.XLOOKUP(Tabla15[[#This Row],[GPS]],Hoja3!A:A,Hoja3!B:B)</f>
        <v>CAMIONETA</v>
      </c>
      <c r="B329" s="11" t="str">
        <f>_xlfn.XLOOKUP(GPS!D329,Hoja3!A:A,Hoja3!D:D)</f>
        <v>PETRÓLEO</v>
      </c>
      <c r="C329" s="12" t="str">
        <f>_xlfn.XLOOKUP(Tabla15[[#This Row],[GPS]],Hoja3!A:A,Hoja3!C:C)</f>
        <v>SERGIO ROJAS</v>
      </c>
      <c r="D329" s="12" t="s">
        <v>128</v>
      </c>
      <c r="E329" s="13">
        <v>46133</v>
      </c>
      <c r="F329" s="11">
        <v>0</v>
      </c>
      <c r="G329" s="11">
        <v>47.56</v>
      </c>
      <c r="H329" s="11">
        <v>1</v>
      </c>
      <c r="I329" s="11">
        <v>20.4434</v>
      </c>
      <c r="J329" s="11">
        <v>91.000100000000003</v>
      </c>
      <c r="K329" s="11">
        <v>0</v>
      </c>
      <c r="L329" s="15">
        <f t="shared" si="5"/>
        <v>5.2844444444444445</v>
      </c>
      <c r="M329" s="14">
        <f>IF(Tabla15[[#This Row],[COMBUSTIBLE]]="PETRÓLEO",L329*$Q$2,L329*$Q$4)</f>
        <v>6346.6177777777775</v>
      </c>
      <c r="N329" s="12" t="str">
        <f>IF(OR(WEEKDAY(Tabla15[[#This Row],[Fecha]],2)=6,WEEKDAY(Tabla15[[#This Row],[Fecha]],2)=7),"Fin de semana","Semana")</f>
        <v>Semana</v>
      </c>
    </row>
    <row r="330" spans="1:14" ht="12.75" customHeight="1" x14ac:dyDescent="0.25">
      <c r="A330" s="11" t="str">
        <f>_xlfn.XLOOKUP(Tabla15[[#This Row],[GPS]],Hoja3!A:A,Hoja3!B:B)</f>
        <v>TRACTOR</v>
      </c>
      <c r="B330" s="11" t="str">
        <f>_xlfn.XLOOKUP(GPS!D330,Hoja3!A:A,Hoja3!D:D)</f>
        <v>PETRÓLEO</v>
      </c>
      <c r="C330" s="12" t="str">
        <f>_xlfn.XLOOKUP(Tabla15[[#This Row],[GPS]],Hoja3!A:A,Hoja3!C:C)</f>
        <v>T11</v>
      </c>
      <c r="D330" s="12" t="s">
        <v>15</v>
      </c>
      <c r="E330" s="13">
        <v>46134</v>
      </c>
      <c r="F330" s="11">
        <v>7.4832999999999998</v>
      </c>
      <c r="G330" s="11">
        <v>38.159999999999997</v>
      </c>
      <c r="H330" s="11">
        <v>1</v>
      </c>
      <c r="I330" s="11">
        <v>7.3360000000000003</v>
      </c>
      <c r="J330" s="11">
        <v>24.372299999999999</v>
      </c>
      <c r="K330" s="11">
        <v>0.94</v>
      </c>
      <c r="L330" s="15">
        <f t="shared" si="5"/>
        <v>6.3599999999999994</v>
      </c>
      <c r="M330" s="14">
        <f>IF(Tabla15[[#This Row],[COMBUSTIBLE]]="PETRÓLEO",L330*$Q$2,L330*$Q$4)</f>
        <v>7638.36</v>
      </c>
      <c r="N330" s="12" t="str">
        <f>IF(OR(WEEKDAY(Tabla15[[#This Row],[Fecha]],2)=6,WEEKDAY(Tabla15[[#This Row],[Fecha]],2)=7),"Fin de semana","Semana")</f>
        <v>Semana</v>
      </c>
    </row>
    <row r="331" spans="1:14" ht="12.75" customHeight="1" x14ac:dyDescent="0.25">
      <c r="A331" s="11" t="str">
        <f>_xlfn.XLOOKUP(Tabla15[[#This Row],[GPS]],Hoja3!A:A,Hoja3!B:B)</f>
        <v>TRACTOR</v>
      </c>
      <c r="B331" s="11" t="str">
        <f>_xlfn.XLOOKUP(GPS!D331,Hoja3!A:A,Hoja3!D:D)</f>
        <v>PETRÓLEO</v>
      </c>
      <c r="C331" s="12" t="str">
        <f>_xlfn.XLOOKUP(Tabla15[[#This Row],[GPS]],Hoja3!A:A,Hoja3!C:C)</f>
        <v>T13</v>
      </c>
      <c r="D331" s="12" t="s">
        <v>19</v>
      </c>
      <c r="E331" s="13">
        <v>46134</v>
      </c>
      <c r="F331" s="11">
        <v>7.2671999999999999</v>
      </c>
      <c r="G331" s="11">
        <v>29.78</v>
      </c>
      <c r="H331" s="11">
        <v>1</v>
      </c>
      <c r="I331" s="11">
        <v>5.7202999999999999</v>
      </c>
      <c r="J331" s="11">
        <v>22.724</v>
      </c>
      <c r="K331" s="11">
        <v>0.91</v>
      </c>
      <c r="L331" s="15">
        <f t="shared" si="5"/>
        <v>4.9633333333333338</v>
      </c>
      <c r="M331" s="14">
        <f>IF(Tabla15[[#This Row],[COMBUSTIBLE]]="PETRÓLEO",L331*$Q$2,L331*$Q$4)</f>
        <v>5960.963333333334</v>
      </c>
      <c r="N331" s="12" t="str">
        <f>IF(OR(WEEKDAY(Tabla15[[#This Row],[Fecha]],2)=6,WEEKDAY(Tabla15[[#This Row],[Fecha]],2)=7),"Fin de semana","Semana")</f>
        <v>Semana</v>
      </c>
    </row>
    <row r="332" spans="1:14" ht="12.75" customHeight="1" x14ac:dyDescent="0.25">
      <c r="A332" s="11" t="str">
        <f>_xlfn.XLOOKUP(Tabla15[[#This Row],[GPS]],Hoja3!A:A,Hoja3!B:B)</f>
        <v>TRACTOR</v>
      </c>
      <c r="B332" s="11" t="str">
        <f>_xlfn.XLOOKUP(GPS!D332,Hoja3!A:A,Hoja3!D:D)</f>
        <v>PETRÓLEO</v>
      </c>
      <c r="C332" s="12" t="str">
        <f>_xlfn.XLOOKUP(Tabla15[[#This Row],[GPS]],Hoja3!A:A,Hoja3!C:C)</f>
        <v>T10</v>
      </c>
      <c r="D332" s="12" t="s">
        <v>14</v>
      </c>
      <c r="E332" s="13">
        <v>46134</v>
      </c>
      <c r="F332" s="11">
        <v>7.0506000000000002</v>
      </c>
      <c r="G332" s="11">
        <v>19.100000000000001</v>
      </c>
      <c r="H332" s="11">
        <v>1</v>
      </c>
      <c r="I332" s="11">
        <v>7.5621</v>
      </c>
      <c r="J332" s="11">
        <v>44.188699999999997</v>
      </c>
      <c r="K332" s="11">
        <v>0.88</v>
      </c>
      <c r="L332" s="15">
        <f t="shared" si="5"/>
        <v>3.1833333333333336</v>
      </c>
      <c r="M332" s="14">
        <f>IF(Tabla15[[#This Row],[COMBUSTIBLE]]="PETRÓLEO",L332*$Q$2,L332*$Q$4)</f>
        <v>3823.1833333333334</v>
      </c>
      <c r="N332" s="12" t="str">
        <f>IF(OR(WEEKDAY(Tabla15[[#This Row],[Fecha]],2)=6,WEEKDAY(Tabla15[[#This Row],[Fecha]],2)=7),"Fin de semana","Semana")</f>
        <v>Semana</v>
      </c>
    </row>
    <row r="333" spans="1:14" ht="12.75" customHeight="1" x14ac:dyDescent="0.25">
      <c r="A333" s="11" t="str">
        <f>_xlfn.XLOOKUP(Tabla15[[#This Row],[GPS]],Hoja3!A:A,Hoja3!B:B)</f>
        <v>TRACTOR</v>
      </c>
      <c r="B333" s="11" t="str">
        <f>_xlfn.XLOOKUP(GPS!D333,Hoja3!A:A,Hoja3!D:D)</f>
        <v>PETRÓLEO</v>
      </c>
      <c r="C333" s="12" t="str">
        <f>_xlfn.XLOOKUP(Tabla15[[#This Row],[GPS]],Hoja3!A:A,Hoja3!C:C)</f>
        <v>T12</v>
      </c>
      <c r="D333" s="12" t="s">
        <v>17</v>
      </c>
      <c r="E333" s="13">
        <v>46134</v>
      </c>
      <c r="F333" s="11">
        <v>5.3038999999999996</v>
      </c>
      <c r="G333" s="11">
        <v>20.18</v>
      </c>
      <c r="H333" s="11">
        <v>1</v>
      </c>
      <c r="I333" s="11">
        <v>7.2698999999999998</v>
      </c>
      <c r="J333" s="11">
        <v>33</v>
      </c>
      <c r="K333" s="11">
        <v>0.66</v>
      </c>
      <c r="L333" s="15">
        <f t="shared" si="5"/>
        <v>3.3633333333333333</v>
      </c>
      <c r="M333" s="14">
        <f>IF(Tabla15[[#This Row],[COMBUSTIBLE]]="PETRÓLEO",L333*$Q$2,L333*$Q$4)</f>
        <v>4039.3633333333332</v>
      </c>
      <c r="N333" s="12" t="str">
        <f>IF(OR(WEEKDAY(Tabla15[[#This Row],[Fecha]],2)=6,WEEKDAY(Tabla15[[#This Row],[Fecha]],2)=7),"Fin de semana","Semana")</f>
        <v>Semana</v>
      </c>
    </row>
    <row r="334" spans="1:14" ht="12.75" customHeight="1" x14ac:dyDescent="0.25">
      <c r="A334" s="11" t="str">
        <f>_xlfn.XLOOKUP(Tabla15[[#This Row],[GPS]],Hoja3!A:A,Hoja3!B:B)</f>
        <v>CAMIONETA</v>
      </c>
      <c r="B334" s="11" t="str">
        <f>_xlfn.XLOOKUP(GPS!D334,Hoja3!A:A,Hoja3!D:D)</f>
        <v>PETRÓLEO</v>
      </c>
      <c r="C334" s="12" t="str">
        <f>_xlfn.XLOOKUP(Tabla15[[#This Row],[GPS]],Hoja3!A:A,Hoja3!C:C)</f>
        <v>GONZALO GUERRERO</v>
      </c>
      <c r="D334" s="12" t="s">
        <v>126</v>
      </c>
      <c r="E334" s="13">
        <v>46134</v>
      </c>
      <c r="F334" s="11">
        <v>5.2278000000000002</v>
      </c>
      <c r="G334" s="11">
        <v>106.94</v>
      </c>
      <c r="H334" s="11">
        <v>1</v>
      </c>
      <c r="I334" s="11">
        <v>32.324199999999998</v>
      </c>
      <c r="J334" s="11">
        <v>120.0466</v>
      </c>
      <c r="K334" s="11">
        <v>0.65</v>
      </c>
      <c r="L334" s="15">
        <f t="shared" si="5"/>
        <v>11.882222222222222</v>
      </c>
      <c r="M334" s="14">
        <f>IF(Tabla15[[#This Row],[COMBUSTIBLE]]="PETRÓLEO",L334*$Q$2,L334*$Q$4)</f>
        <v>14270.548888888889</v>
      </c>
      <c r="N334" s="12" t="str">
        <f>IF(OR(WEEKDAY(Tabla15[[#This Row],[Fecha]],2)=6,WEEKDAY(Tabla15[[#This Row],[Fecha]],2)=7),"Fin de semana","Semana")</f>
        <v>Semana</v>
      </c>
    </row>
    <row r="335" spans="1:14" ht="12.75" customHeight="1" x14ac:dyDescent="0.25">
      <c r="A335" s="11" t="str">
        <f>_xlfn.XLOOKUP(Tabla15[[#This Row],[GPS]],Hoja3!A:A,Hoja3!B:B)</f>
        <v>CAMIONETA</v>
      </c>
      <c r="B335" s="11" t="str">
        <f>_xlfn.XLOOKUP(GPS!D335,Hoja3!A:A,Hoja3!D:D)</f>
        <v>PETRÓLEO</v>
      </c>
      <c r="C335" s="12" t="str">
        <f>_xlfn.XLOOKUP(Tabla15[[#This Row],[GPS]],Hoja3!A:A,Hoja3!C:C)</f>
        <v>RODRIGO SALINAS</v>
      </c>
      <c r="D335" s="12" t="s">
        <v>109</v>
      </c>
      <c r="E335" s="13">
        <v>46134</v>
      </c>
      <c r="F335" s="11">
        <v>5.1139000000000001</v>
      </c>
      <c r="G335" s="11">
        <v>140.26</v>
      </c>
      <c r="H335" s="11">
        <v>1</v>
      </c>
      <c r="I335" s="11">
        <v>32.018700000000003</v>
      </c>
      <c r="J335" s="11">
        <v>168.9024</v>
      </c>
      <c r="K335" s="11">
        <v>0.64</v>
      </c>
      <c r="L335" s="15">
        <f t="shared" si="5"/>
        <v>15.584444444444443</v>
      </c>
      <c r="M335" s="14">
        <f>IF(Tabla15[[#This Row],[COMBUSTIBLE]]="PETRÓLEO",L335*$Q$2,L335*$Q$4)</f>
        <v>18716.917777777777</v>
      </c>
      <c r="N335" s="12" t="str">
        <f>IF(OR(WEEKDAY(Tabla15[[#This Row],[Fecha]],2)=6,WEEKDAY(Tabla15[[#This Row],[Fecha]],2)=7),"Fin de semana","Semana")</f>
        <v>Semana</v>
      </c>
    </row>
    <row r="336" spans="1:14" ht="12.75" customHeight="1" x14ac:dyDescent="0.25">
      <c r="A336" s="11" t="str">
        <f>_xlfn.XLOOKUP(Tabla15[[#This Row],[GPS]],Hoja3!A:A,Hoja3!B:B)</f>
        <v>CAMIONETA</v>
      </c>
      <c r="B336" s="11" t="str">
        <f>_xlfn.XLOOKUP(GPS!D336,Hoja3!A:A,Hoja3!D:D)</f>
        <v>PETRÓLEO</v>
      </c>
      <c r="C336" s="12" t="str">
        <f>_xlfn.XLOOKUP(Tabla15[[#This Row],[GPS]],Hoja3!A:A,Hoja3!C:C)</f>
        <v>CAMPO PAINE</v>
      </c>
      <c r="D336" s="12" t="s">
        <v>131</v>
      </c>
      <c r="E336" s="13">
        <v>46134</v>
      </c>
      <c r="F336" s="11">
        <v>4.8907999999999996</v>
      </c>
      <c r="G336" s="11">
        <v>44.02</v>
      </c>
      <c r="H336" s="11">
        <v>1</v>
      </c>
      <c r="I336" s="11">
        <v>20.4785</v>
      </c>
      <c r="J336" s="11">
        <v>106</v>
      </c>
      <c r="K336" s="11">
        <v>0.61</v>
      </c>
      <c r="L336" s="15">
        <f t="shared" si="5"/>
        <v>4.8911111111111119</v>
      </c>
      <c r="M336" s="14">
        <f>IF(Tabla15[[#This Row],[COMBUSTIBLE]]="PETRÓLEO",L336*$Q$2,L336*$Q$4)</f>
        <v>5874.224444444445</v>
      </c>
      <c r="N336" s="12" t="str">
        <f>IF(OR(WEEKDAY(Tabla15[[#This Row],[Fecha]],2)=6,WEEKDAY(Tabla15[[#This Row],[Fecha]],2)=7),"Fin de semana","Semana")</f>
        <v>Semana</v>
      </c>
    </row>
    <row r="337" spans="1:14" ht="12.75" customHeight="1" x14ac:dyDescent="0.25">
      <c r="A337" s="11" t="str">
        <f>_xlfn.XLOOKUP(Tabla15[[#This Row],[GPS]],Hoja3!A:A,Hoja3!B:B)</f>
        <v>TRACTOR</v>
      </c>
      <c r="B337" s="11" t="str">
        <f>_xlfn.XLOOKUP(GPS!D337,Hoja3!A:A,Hoja3!D:D)</f>
        <v>PETRÓLEO</v>
      </c>
      <c r="C337" s="12" t="str">
        <f>_xlfn.XLOOKUP(Tabla15[[#This Row],[GPS]],Hoja3!A:A,Hoja3!C:C)</f>
        <v>T14</v>
      </c>
      <c r="D337" s="12" t="s">
        <v>21</v>
      </c>
      <c r="E337" s="13">
        <v>46134</v>
      </c>
      <c r="F337" s="11">
        <v>4.1407999999999996</v>
      </c>
      <c r="G337" s="11">
        <v>7.84</v>
      </c>
      <c r="H337" s="11">
        <v>1</v>
      </c>
      <c r="I337" s="11">
        <v>12.120699999999999</v>
      </c>
      <c r="J337" s="11">
        <v>66.431200000000004</v>
      </c>
      <c r="K337" s="11">
        <v>0.52</v>
      </c>
      <c r="L337" s="15">
        <f t="shared" si="5"/>
        <v>1.3066666666666666</v>
      </c>
      <c r="M337" s="14">
        <f>IF(Tabla15[[#This Row],[COMBUSTIBLE]]="PETRÓLEO",L337*$Q$2,L337*$Q$4)</f>
        <v>1569.3066666666666</v>
      </c>
      <c r="N337" s="12" t="str">
        <f>IF(OR(WEEKDAY(Tabla15[[#This Row],[Fecha]],2)=6,WEEKDAY(Tabla15[[#This Row],[Fecha]],2)=7),"Fin de semana","Semana")</f>
        <v>Semana</v>
      </c>
    </row>
    <row r="338" spans="1:14" ht="12.75" customHeight="1" x14ac:dyDescent="0.25">
      <c r="A338" s="11" t="str">
        <f>_xlfn.XLOOKUP(Tabla15[[#This Row],[GPS]],Hoja3!A:A,Hoja3!B:B)</f>
        <v>CAMIONETA</v>
      </c>
      <c r="B338" s="11" t="str">
        <f>_xlfn.XLOOKUP(GPS!D338,Hoja3!A:A,Hoja3!D:D)</f>
        <v>PETRÓLEO</v>
      </c>
      <c r="C338" s="12" t="str">
        <f>_xlfn.XLOOKUP(Tabla15[[#This Row],[GPS]],Hoja3!A:A,Hoja3!C:C)</f>
        <v>CAMPO CERRILLOS</v>
      </c>
      <c r="D338" s="12" t="s">
        <v>121</v>
      </c>
      <c r="E338" s="13">
        <v>46134</v>
      </c>
      <c r="F338" s="11">
        <v>3.8872</v>
      </c>
      <c r="G338" s="11">
        <v>41.19</v>
      </c>
      <c r="H338" s="11">
        <v>1</v>
      </c>
      <c r="I338" s="11">
        <v>18.731200000000001</v>
      </c>
      <c r="J338" s="11">
        <v>70</v>
      </c>
      <c r="K338" s="11">
        <v>0.49</v>
      </c>
      <c r="L338" s="15">
        <f t="shared" si="5"/>
        <v>4.5766666666666662</v>
      </c>
      <c r="M338" s="14">
        <f>IF(Tabla15[[#This Row],[COMBUSTIBLE]]="PETRÓLEO",L338*$Q$2,L338*$Q$4)</f>
        <v>5496.5766666666659</v>
      </c>
      <c r="N338" s="12" t="str">
        <f>IF(OR(WEEKDAY(Tabla15[[#This Row],[Fecha]],2)=6,WEEKDAY(Tabla15[[#This Row],[Fecha]],2)=7),"Fin de semana","Semana")</f>
        <v>Semana</v>
      </c>
    </row>
    <row r="339" spans="1:14" ht="12.75" customHeight="1" x14ac:dyDescent="0.25">
      <c r="A339" s="11" t="str">
        <f>_xlfn.XLOOKUP(Tabla15[[#This Row],[GPS]],Hoja3!A:A,Hoja3!B:B)</f>
        <v>TRACTOR</v>
      </c>
      <c r="B339" s="11" t="str">
        <f>_xlfn.XLOOKUP(GPS!D339,Hoja3!A:A,Hoja3!D:D)</f>
        <v>PETRÓLEO</v>
      </c>
      <c r="C339" s="12" t="str">
        <f>_xlfn.XLOOKUP(Tabla15[[#This Row],[GPS]],Hoja3!A:A,Hoja3!C:C)</f>
        <v>T8</v>
      </c>
      <c r="D339" s="12" t="s">
        <v>27</v>
      </c>
      <c r="E339" s="13">
        <v>46134</v>
      </c>
      <c r="F339" s="11">
        <v>3.5863999999999998</v>
      </c>
      <c r="G339" s="11">
        <v>21.17</v>
      </c>
      <c r="H339" s="11">
        <v>1</v>
      </c>
      <c r="I339" s="11">
        <v>8.4972999999999992</v>
      </c>
      <c r="J339" s="11">
        <v>36.336199999999998</v>
      </c>
      <c r="K339" s="11">
        <v>0.45</v>
      </c>
      <c r="L339" s="15">
        <f t="shared" si="5"/>
        <v>3.5283333333333338</v>
      </c>
      <c r="M339" s="14">
        <f>IF(Tabla15[[#This Row],[COMBUSTIBLE]]="PETRÓLEO",L339*$Q$2,L339*$Q$4)</f>
        <v>4237.5283333333336</v>
      </c>
      <c r="N339" s="12" t="str">
        <f>IF(OR(WEEKDAY(Tabla15[[#This Row],[Fecha]],2)=6,WEEKDAY(Tabla15[[#This Row],[Fecha]],2)=7),"Fin de semana","Semana")</f>
        <v>Semana</v>
      </c>
    </row>
    <row r="340" spans="1:14" ht="12.75" customHeight="1" x14ac:dyDescent="0.25">
      <c r="A340" s="11" t="str">
        <f>_xlfn.XLOOKUP(Tabla15[[#This Row],[GPS]],Hoja3!A:A,Hoja3!B:B)</f>
        <v>TRACTOR</v>
      </c>
      <c r="B340" s="11" t="str">
        <f>_xlfn.XLOOKUP(GPS!D340,Hoja3!A:A,Hoja3!D:D)</f>
        <v>PETRÓLEO</v>
      </c>
      <c r="C340" s="12" t="str">
        <f>_xlfn.XLOOKUP(Tabla15[[#This Row],[GPS]],Hoja3!A:A,Hoja3!C:C)</f>
        <v>T5</v>
      </c>
      <c r="D340" s="12" t="s">
        <v>24</v>
      </c>
      <c r="E340" s="13">
        <v>46134</v>
      </c>
      <c r="F340" s="11">
        <v>2.6917</v>
      </c>
      <c r="G340" s="11">
        <v>11.32</v>
      </c>
      <c r="H340" s="11">
        <v>1</v>
      </c>
      <c r="I340" s="11">
        <v>7.4802</v>
      </c>
      <c r="J340" s="11">
        <v>30.706199999999999</v>
      </c>
      <c r="K340" s="11">
        <v>0.34</v>
      </c>
      <c r="L340" s="15">
        <f t="shared" si="5"/>
        <v>1.8866666666666667</v>
      </c>
      <c r="M340" s="14">
        <f>IF(Tabla15[[#This Row],[COMBUSTIBLE]]="PETRÓLEO",L340*$Q$2,L340*$Q$4)</f>
        <v>2265.8866666666668</v>
      </c>
      <c r="N340" s="12" t="str">
        <f>IF(OR(WEEKDAY(Tabla15[[#This Row],[Fecha]],2)=6,WEEKDAY(Tabla15[[#This Row],[Fecha]],2)=7),"Fin de semana","Semana")</f>
        <v>Semana</v>
      </c>
    </row>
    <row r="341" spans="1:14" ht="12.75" customHeight="1" x14ac:dyDescent="0.25">
      <c r="A341" s="11" t="str">
        <f>_xlfn.XLOOKUP(Tabla15[[#This Row],[GPS]],Hoja3!A:A,Hoja3!B:B)</f>
        <v>CAMIONETA</v>
      </c>
      <c r="B341" s="11" t="str">
        <f>_xlfn.XLOOKUP(GPS!D341,Hoja3!A:A,Hoja3!D:D)</f>
        <v>PETRÓLEO</v>
      </c>
      <c r="C341" s="12" t="str">
        <f>_xlfn.XLOOKUP(Tabla15[[#This Row],[GPS]],Hoja3!A:A,Hoja3!C:C)</f>
        <v>CAMPO RULO</v>
      </c>
      <c r="D341" s="12" t="s">
        <v>135</v>
      </c>
      <c r="E341" s="13">
        <v>46134</v>
      </c>
      <c r="F341" s="11">
        <v>2.5057999999999998</v>
      </c>
      <c r="G341" s="11">
        <v>37.049999999999997</v>
      </c>
      <c r="H341" s="11">
        <v>1</v>
      </c>
      <c r="I341" s="11">
        <v>19.322700000000001</v>
      </c>
      <c r="J341" s="11">
        <v>70.999899999999997</v>
      </c>
      <c r="K341" s="11">
        <v>0.31</v>
      </c>
      <c r="L341" s="15">
        <f t="shared" si="5"/>
        <v>4.1166666666666663</v>
      </c>
      <c r="M341" s="14">
        <f>IF(Tabla15[[#This Row],[COMBUSTIBLE]]="PETRÓLEO",L341*$Q$2,L341*$Q$4)</f>
        <v>4944.1166666666659</v>
      </c>
      <c r="N341" s="12" t="str">
        <f>IF(OR(WEEKDAY(Tabla15[[#This Row],[Fecha]],2)=6,WEEKDAY(Tabla15[[#This Row],[Fecha]],2)=7),"Fin de semana","Semana")</f>
        <v>Semana</v>
      </c>
    </row>
    <row r="342" spans="1:14" ht="12.75" customHeight="1" x14ac:dyDescent="0.25">
      <c r="A342" s="11" t="str">
        <f>_xlfn.XLOOKUP(Tabla15[[#This Row],[GPS]],Hoja3!A:A,Hoja3!B:B)</f>
        <v>TRACTOR</v>
      </c>
      <c r="B342" s="11" t="str">
        <f>_xlfn.XLOOKUP(GPS!D342,Hoja3!A:A,Hoja3!D:D)</f>
        <v>PETRÓLEO</v>
      </c>
      <c r="C342" s="12" t="str">
        <f>_xlfn.XLOOKUP(Tabla15[[#This Row],[GPS]],Hoja3!A:A,Hoja3!C:C)</f>
        <v>T6</v>
      </c>
      <c r="D342" s="12" t="s">
        <v>25</v>
      </c>
      <c r="E342" s="13">
        <v>46134</v>
      </c>
      <c r="F342" s="11">
        <v>0.2233</v>
      </c>
      <c r="G342" s="11">
        <v>1.18</v>
      </c>
      <c r="H342" s="11">
        <v>1</v>
      </c>
      <c r="I342" s="11">
        <v>5.6642000000000001</v>
      </c>
      <c r="J342" s="11">
        <v>21.5943</v>
      </c>
      <c r="K342" s="11">
        <v>0.03</v>
      </c>
      <c r="L342" s="15">
        <f t="shared" si="5"/>
        <v>0.19666666666666666</v>
      </c>
      <c r="M342" s="14">
        <f>IF(Tabla15[[#This Row],[COMBUSTIBLE]]="PETRÓLEO",L342*$Q$2,L342*$Q$4)</f>
        <v>236.19666666666666</v>
      </c>
      <c r="N342" s="12" t="str">
        <f>IF(OR(WEEKDAY(Tabla15[[#This Row],[Fecha]],2)=6,WEEKDAY(Tabla15[[#This Row],[Fecha]],2)=7),"Fin de semana","Semana")</f>
        <v>Semana</v>
      </c>
    </row>
    <row r="343" spans="1:14" ht="12.75" customHeight="1" x14ac:dyDescent="0.25">
      <c r="A343" s="11" t="str">
        <f>_xlfn.XLOOKUP(Tabla15[[#This Row],[GPS]],Hoja3!A:A,Hoja3!B:B)</f>
        <v>TRACTOR</v>
      </c>
      <c r="B343" s="11" t="str">
        <f>_xlfn.XLOOKUP(GPS!D343,Hoja3!A:A,Hoja3!D:D)</f>
        <v>PETRÓLEO</v>
      </c>
      <c r="C343" s="12" t="str">
        <f>_xlfn.XLOOKUP(Tabla15[[#This Row],[GPS]],Hoja3!A:A,Hoja3!C:C)</f>
        <v>T4</v>
      </c>
      <c r="D343" s="12" t="s">
        <v>23</v>
      </c>
      <c r="E343" s="13">
        <v>46134</v>
      </c>
      <c r="F343" s="11">
        <v>0.2225</v>
      </c>
      <c r="G343" s="11">
        <v>0.02</v>
      </c>
      <c r="H343" s="11">
        <v>0</v>
      </c>
      <c r="I343" s="11">
        <v>2.4018000000000002</v>
      </c>
      <c r="J343" s="11">
        <v>11.148999999999999</v>
      </c>
      <c r="K343" s="11">
        <v>0.03</v>
      </c>
      <c r="L343" s="15">
        <f t="shared" si="5"/>
        <v>3.3333333333333335E-3</v>
      </c>
      <c r="M343" s="14">
        <f>IF(Tabla15[[#This Row],[COMBUSTIBLE]]="PETRÓLEO",L343*$Q$2,L343*$Q$4)</f>
        <v>4.0033333333333339</v>
      </c>
      <c r="N343" s="12" t="str">
        <f>IF(OR(WEEKDAY(Tabla15[[#This Row],[Fecha]],2)=6,WEEKDAY(Tabla15[[#This Row],[Fecha]],2)=7),"Fin de semana","Semana")</f>
        <v>Semana</v>
      </c>
    </row>
    <row r="344" spans="1:14" ht="12.75" customHeight="1" x14ac:dyDescent="0.25">
      <c r="A344" s="11" t="str">
        <f>_xlfn.XLOOKUP(Tabla15[[#This Row],[GPS]],Hoja3!A:A,Hoja3!B:B)</f>
        <v>CAMIONETA</v>
      </c>
      <c r="B344" s="11" t="str">
        <f>_xlfn.XLOOKUP(GPS!D344,Hoja3!A:A,Hoja3!D:D)</f>
        <v>BENCINA</v>
      </c>
      <c r="C344" s="12" t="str">
        <f>_xlfn.XLOOKUP(Tabla15[[#This Row],[GPS]],Hoja3!A:A,Hoja3!C:C)</f>
        <v>VG PIÑALEO</v>
      </c>
      <c r="D344" s="12" t="s">
        <v>114</v>
      </c>
      <c r="E344" s="13">
        <v>46134</v>
      </c>
      <c r="F344" s="11">
        <v>0</v>
      </c>
      <c r="G344" s="11">
        <v>24.87</v>
      </c>
      <c r="H344" s="11">
        <v>1</v>
      </c>
      <c r="I344" s="11">
        <v>33.312600000000003</v>
      </c>
      <c r="J344" s="11">
        <v>78.617400000000004</v>
      </c>
      <c r="K344" s="11">
        <v>0</v>
      </c>
      <c r="L344" s="15">
        <f t="shared" si="5"/>
        <v>2.2609090909090912</v>
      </c>
      <c r="M344" s="14">
        <f>IF(Tabla15[[#This Row],[COMBUSTIBLE]]="PETRÓLEO",L344*$Q$2,L344*$Q$4)</f>
        <v>3504.4090909090914</v>
      </c>
      <c r="N344" s="12" t="str">
        <f>IF(OR(WEEKDAY(Tabla15[[#This Row],[Fecha]],2)=6,WEEKDAY(Tabla15[[#This Row],[Fecha]],2)=7),"Fin de semana","Semana")</f>
        <v>Semana</v>
      </c>
    </row>
    <row r="345" spans="1:14" ht="12.75" customHeight="1" x14ac:dyDescent="0.25">
      <c r="A345" s="11" t="str">
        <f>_xlfn.XLOOKUP(Tabla15[[#This Row],[GPS]],Hoja3!A:A,Hoja3!B:B)</f>
        <v>CAMIONETA</v>
      </c>
      <c r="B345" s="11" t="str">
        <f>_xlfn.XLOOKUP(GPS!D345,Hoja3!A:A,Hoja3!D:D)</f>
        <v>PETRÓLEO</v>
      </c>
      <c r="C345" s="12" t="str">
        <f>_xlfn.XLOOKUP(Tabla15[[#This Row],[GPS]],Hoja3!A:A,Hoja3!C:C)</f>
        <v>SERGIO ROJAS</v>
      </c>
      <c r="D345" s="12" t="s">
        <v>128</v>
      </c>
      <c r="E345" s="13">
        <v>46134</v>
      </c>
      <c r="F345" s="11">
        <v>0</v>
      </c>
      <c r="G345" s="11">
        <v>63.09</v>
      </c>
      <c r="H345" s="11">
        <v>1</v>
      </c>
      <c r="I345" s="11">
        <v>24.5822</v>
      </c>
      <c r="J345" s="11">
        <v>90</v>
      </c>
      <c r="K345" s="11">
        <v>0</v>
      </c>
      <c r="L345" s="15">
        <f t="shared" si="5"/>
        <v>7.0100000000000007</v>
      </c>
      <c r="M345" s="14">
        <f>IF(Tabla15[[#This Row],[COMBUSTIBLE]]="PETRÓLEO",L345*$Q$2,L345*$Q$4)</f>
        <v>8419.01</v>
      </c>
      <c r="N345" s="12" t="str">
        <f>IF(OR(WEEKDAY(Tabla15[[#This Row],[Fecha]],2)=6,WEEKDAY(Tabla15[[#This Row],[Fecha]],2)=7),"Fin de semana","Semana")</f>
        <v>Semana</v>
      </c>
    </row>
    <row r="346" spans="1:14" ht="12.75" customHeight="1" x14ac:dyDescent="0.25">
      <c r="A346" s="11" t="str">
        <f>_xlfn.XLOOKUP(Tabla15[[#This Row],[GPS]],Hoja3!A:A,Hoja3!B:B)</f>
        <v>CAMIONETA</v>
      </c>
      <c r="B346" s="11" t="str">
        <f>_xlfn.XLOOKUP(GPS!D346,Hoja3!A:A,Hoja3!D:D)</f>
        <v>BENCINA</v>
      </c>
      <c r="C346" s="12" t="str">
        <f>_xlfn.XLOOKUP(Tabla15[[#This Row],[GPS]],Hoja3!A:A,Hoja3!C:C)</f>
        <v>VG GERARDO</v>
      </c>
      <c r="D346" s="12" t="s">
        <v>118</v>
      </c>
      <c r="E346" s="13">
        <v>46134</v>
      </c>
      <c r="F346" s="11">
        <v>0</v>
      </c>
      <c r="G346" s="11">
        <v>48.45</v>
      </c>
      <c r="H346" s="11">
        <v>1</v>
      </c>
      <c r="I346" s="11">
        <v>24.231300000000001</v>
      </c>
      <c r="J346" s="11">
        <v>78.784099999999995</v>
      </c>
      <c r="K346" s="11">
        <v>0</v>
      </c>
      <c r="L346" s="15">
        <f t="shared" si="5"/>
        <v>4.4045454545454552</v>
      </c>
      <c r="M346" s="14">
        <f>IF(Tabla15[[#This Row],[COMBUSTIBLE]]="PETRÓLEO",L346*$Q$2,L346*$Q$4)</f>
        <v>6827.0454545454559</v>
      </c>
      <c r="N346" s="12" t="str">
        <f>IF(OR(WEEKDAY(Tabla15[[#This Row],[Fecha]],2)=6,WEEKDAY(Tabla15[[#This Row],[Fecha]],2)=7),"Fin de semana","Semana")</f>
        <v>Semana</v>
      </c>
    </row>
    <row r="347" spans="1:14" ht="12.75" customHeight="1" x14ac:dyDescent="0.25">
      <c r="A347" s="11" t="str">
        <f>_xlfn.XLOOKUP(Tabla15[[#This Row],[GPS]],Hoja3!A:A,Hoja3!B:B)</f>
        <v>TRACTOR</v>
      </c>
      <c r="B347" s="11" t="str">
        <f>_xlfn.XLOOKUP(GPS!D347,Hoja3!A:A,Hoja3!D:D)</f>
        <v>PETRÓLEO</v>
      </c>
      <c r="C347" s="12" t="str">
        <f>_xlfn.XLOOKUP(Tabla15[[#This Row],[GPS]],Hoja3!A:A,Hoja3!C:C)</f>
        <v>T7</v>
      </c>
      <c r="D347" s="12" t="s">
        <v>26</v>
      </c>
      <c r="E347" s="13">
        <v>46134</v>
      </c>
      <c r="F347" s="11">
        <v>0</v>
      </c>
      <c r="G347" s="11">
        <v>0.01</v>
      </c>
      <c r="H347" s="11">
        <v>0</v>
      </c>
      <c r="I347" s="11">
        <v>14.871600000000001</v>
      </c>
      <c r="J347" s="11">
        <v>14.871600000000001</v>
      </c>
      <c r="K347" s="11">
        <v>0</v>
      </c>
      <c r="L347" s="15">
        <f t="shared" si="5"/>
        <v>1.6666666666666668E-3</v>
      </c>
      <c r="M347" s="14">
        <f>IF(Tabla15[[#This Row],[COMBUSTIBLE]]="PETRÓLEO",L347*$Q$2,L347*$Q$4)</f>
        <v>2.0016666666666669</v>
      </c>
      <c r="N347" s="12" t="str">
        <f>IF(OR(WEEKDAY(Tabla15[[#This Row],[Fecha]],2)=6,WEEKDAY(Tabla15[[#This Row],[Fecha]],2)=7),"Fin de semana","Semana")</f>
        <v>Semana</v>
      </c>
    </row>
    <row r="348" spans="1:14" ht="12.75" customHeight="1" x14ac:dyDescent="0.25">
      <c r="A348" s="11" t="str">
        <f>_xlfn.XLOOKUP(Tabla15[[#This Row],[GPS]],Hoja3!A:A,Hoja3!B:B)</f>
        <v>CAMIONETA</v>
      </c>
      <c r="B348" s="11" t="str">
        <f>_xlfn.XLOOKUP(GPS!D348,Hoja3!A:A,Hoja3!D:D)</f>
        <v>BENCINA</v>
      </c>
      <c r="C348" s="12" t="str">
        <f>_xlfn.XLOOKUP(Tabla15[[#This Row],[GPS]],Hoja3!A:A,Hoja3!C:C)</f>
        <v>VG CERRILLOS</v>
      </c>
      <c r="D348" s="12" t="s">
        <v>137</v>
      </c>
      <c r="E348" s="13">
        <v>46134</v>
      </c>
      <c r="F348" s="11">
        <v>0</v>
      </c>
      <c r="G348" s="11">
        <v>27.6</v>
      </c>
      <c r="H348" s="11">
        <v>1</v>
      </c>
      <c r="I348" s="11">
        <v>11.809100000000001</v>
      </c>
      <c r="J348" s="11">
        <v>70.024100000000004</v>
      </c>
      <c r="K348" s="11">
        <v>0</v>
      </c>
      <c r="L348" s="15">
        <f t="shared" si="5"/>
        <v>2.5090909090909093</v>
      </c>
      <c r="M348" s="14">
        <f>IF(Tabla15[[#This Row],[COMBUSTIBLE]]="PETRÓLEO",L348*$Q$2,L348*$Q$4)</f>
        <v>3889.0909090909095</v>
      </c>
      <c r="N348" s="12" t="str">
        <f>IF(OR(WEEKDAY(Tabla15[[#This Row],[Fecha]],2)=6,WEEKDAY(Tabla15[[#This Row],[Fecha]],2)=7),"Fin de semana","Semana")</f>
        <v>Semana</v>
      </c>
    </row>
    <row r="349" spans="1:14" ht="12.75" customHeight="1" x14ac:dyDescent="0.25">
      <c r="A349" s="11" t="str">
        <f>_xlfn.XLOOKUP(Tabla15[[#This Row],[GPS]],Hoja3!A:A,Hoja3!B:B)</f>
        <v>TRACTOR</v>
      </c>
      <c r="B349" s="11" t="str">
        <f>_xlfn.XLOOKUP(GPS!D349,Hoja3!A:A,Hoja3!D:D)</f>
        <v>PETRÓLEO</v>
      </c>
      <c r="C349" s="12" t="str">
        <f>_xlfn.XLOOKUP(Tabla15[[#This Row],[GPS]],Hoja3!A:A,Hoja3!C:C)</f>
        <v>T11</v>
      </c>
      <c r="D349" s="12" t="s">
        <v>15</v>
      </c>
      <c r="E349" s="13">
        <v>46135</v>
      </c>
      <c r="F349" s="11">
        <v>17.016100000000002</v>
      </c>
      <c r="G349" s="11">
        <v>29.69</v>
      </c>
      <c r="H349" s="11">
        <v>1</v>
      </c>
      <c r="I349" s="11">
        <v>6.0768000000000004</v>
      </c>
      <c r="J349" s="11">
        <v>24.927900000000001</v>
      </c>
      <c r="K349" s="11">
        <v>2.13</v>
      </c>
      <c r="L349" s="15">
        <f t="shared" si="5"/>
        <v>4.9483333333333333</v>
      </c>
      <c r="M349" s="14">
        <f>IF(Tabla15[[#This Row],[COMBUSTIBLE]]="PETRÓLEO",L349*$Q$2,L349*$Q$4)</f>
        <v>5942.9483333333328</v>
      </c>
      <c r="N349" s="12" t="str">
        <f>IF(OR(WEEKDAY(Tabla15[[#This Row],[Fecha]],2)=6,WEEKDAY(Tabla15[[#This Row],[Fecha]],2)=7),"Fin de semana","Semana")</f>
        <v>Semana</v>
      </c>
    </row>
    <row r="350" spans="1:14" ht="12.75" customHeight="1" x14ac:dyDescent="0.25">
      <c r="A350" s="11" t="str">
        <f>_xlfn.XLOOKUP(Tabla15[[#This Row],[GPS]],Hoja3!A:A,Hoja3!B:B)</f>
        <v>TRACTOR</v>
      </c>
      <c r="B350" s="11" t="str">
        <f>_xlfn.XLOOKUP(GPS!D350,Hoja3!A:A,Hoja3!D:D)</f>
        <v>PETRÓLEO</v>
      </c>
      <c r="C350" s="12" t="str">
        <f>_xlfn.XLOOKUP(Tabla15[[#This Row],[GPS]],Hoja3!A:A,Hoja3!C:C)</f>
        <v>T11</v>
      </c>
      <c r="D350" s="12" t="s">
        <v>15</v>
      </c>
      <c r="E350" s="13">
        <v>46136</v>
      </c>
      <c r="F350" s="11">
        <v>10.517200000000001</v>
      </c>
      <c r="G350" s="11">
        <v>19.32</v>
      </c>
      <c r="H350" s="11">
        <v>1</v>
      </c>
      <c r="I350" s="11">
        <v>5.8235000000000001</v>
      </c>
      <c r="J350" s="11">
        <v>34.1509</v>
      </c>
      <c r="K350" s="11">
        <v>1.31</v>
      </c>
      <c r="L350" s="15">
        <f t="shared" si="5"/>
        <v>3.22</v>
      </c>
      <c r="M350" s="14">
        <f>IF(Tabla15[[#This Row],[COMBUSTIBLE]]="PETRÓLEO",L350*$Q$2,L350*$Q$4)</f>
        <v>3867.2200000000003</v>
      </c>
      <c r="N350" s="12" t="str">
        <f>IF(OR(WEEKDAY(Tabla15[[#This Row],[Fecha]],2)=6,WEEKDAY(Tabla15[[#This Row],[Fecha]],2)=7),"Fin de semana","Semana")</f>
        <v>Semana</v>
      </c>
    </row>
    <row r="351" spans="1:14" ht="12.75" customHeight="1" x14ac:dyDescent="0.25">
      <c r="A351" s="11" t="str">
        <f>_xlfn.XLOOKUP(Tabla15[[#This Row],[GPS]],Hoja3!A:A,Hoja3!B:B)</f>
        <v>TRACTOR</v>
      </c>
      <c r="B351" s="11" t="str">
        <f>_xlfn.XLOOKUP(GPS!D351,Hoja3!A:A,Hoja3!D:D)</f>
        <v>PETRÓLEO</v>
      </c>
      <c r="C351" s="12" t="str">
        <f>_xlfn.XLOOKUP(Tabla15[[#This Row],[GPS]],Hoja3!A:A,Hoja3!C:C)</f>
        <v>T13</v>
      </c>
      <c r="D351" s="12" t="s">
        <v>19</v>
      </c>
      <c r="E351" s="13">
        <v>46136</v>
      </c>
      <c r="F351" s="11">
        <v>9.0767000000000007</v>
      </c>
      <c r="G351" s="11">
        <v>74.19</v>
      </c>
      <c r="H351" s="11">
        <v>1</v>
      </c>
      <c r="I351" s="11">
        <v>9.7530000000000001</v>
      </c>
      <c r="J351" s="11">
        <v>53.133899999999997</v>
      </c>
      <c r="K351" s="11">
        <v>1.1299999999999999</v>
      </c>
      <c r="L351" s="15">
        <f t="shared" si="5"/>
        <v>12.365</v>
      </c>
      <c r="M351" s="14">
        <f>IF(Tabla15[[#This Row],[COMBUSTIBLE]]="PETRÓLEO",L351*$Q$2,L351*$Q$4)</f>
        <v>14850.365</v>
      </c>
      <c r="N351" s="12" t="str">
        <f>IF(OR(WEEKDAY(Tabla15[[#This Row],[Fecha]],2)=6,WEEKDAY(Tabla15[[#This Row],[Fecha]],2)=7),"Fin de semana","Semana")</f>
        <v>Semana</v>
      </c>
    </row>
    <row r="352" spans="1:14" ht="12.75" customHeight="1" x14ac:dyDescent="0.25">
      <c r="A352" s="11" t="str">
        <f>_xlfn.XLOOKUP(Tabla15[[#This Row],[GPS]],Hoja3!A:A,Hoja3!B:B)</f>
        <v>TRACTOR</v>
      </c>
      <c r="B352" s="11" t="str">
        <f>_xlfn.XLOOKUP(GPS!D352,Hoja3!A:A,Hoja3!D:D)</f>
        <v>PETRÓLEO</v>
      </c>
      <c r="C352" s="12" t="str">
        <f>_xlfn.XLOOKUP(Tabla15[[#This Row],[GPS]],Hoja3!A:A,Hoja3!C:C)</f>
        <v>T7</v>
      </c>
      <c r="D352" s="12" t="s">
        <v>26</v>
      </c>
      <c r="E352" s="13">
        <v>46136</v>
      </c>
      <c r="F352" s="11">
        <v>8.4581</v>
      </c>
      <c r="G352" s="11">
        <v>14.27</v>
      </c>
      <c r="H352" s="11">
        <v>1</v>
      </c>
      <c r="I352" s="11">
        <v>5.0875000000000004</v>
      </c>
      <c r="J352" s="11">
        <v>28.6875</v>
      </c>
      <c r="K352" s="11">
        <v>1.06</v>
      </c>
      <c r="L352" s="15">
        <f t="shared" si="5"/>
        <v>2.3783333333333334</v>
      </c>
      <c r="M352" s="14">
        <f>IF(Tabla15[[#This Row],[COMBUSTIBLE]]="PETRÓLEO",L352*$Q$2,L352*$Q$4)</f>
        <v>2856.3783333333336</v>
      </c>
      <c r="N352" s="12" t="str">
        <f>IF(OR(WEEKDAY(Tabla15[[#This Row],[Fecha]],2)=6,WEEKDAY(Tabla15[[#This Row],[Fecha]],2)=7),"Fin de semana","Semana")</f>
        <v>Semana</v>
      </c>
    </row>
    <row r="353" spans="1:14" ht="12.75" customHeight="1" x14ac:dyDescent="0.25">
      <c r="A353" s="11" t="str">
        <f>_xlfn.XLOOKUP(Tabla15[[#This Row],[GPS]],Hoja3!A:A,Hoja3!B:B)</f>
        <v>TRACTOR</v>
      </c>
      <c r="B353" s="11" t="str">
        <f>_xlfn.XLOOKUP(GPS!D353,Hoja3!A:A,Hoja3!D:D)</f>
        <v>PETRÓLEO</v>
      </c>
      <c r="C353" s="12" t="str">
        <f>_xlfn.XLOOKUP(Tabla15[[#This Row],[GPS]],Hoja3!A:A,Hoja3!C:C)</f>
        <v>T12</v>
      </c>
      <c r="D353" s="12" t="s">
        <v>17</v>
      </c>
      <c r="E353" s="13">
        <v>46135</v>
      </c>
      <c r="F353" s="11">
        <v>7.9747000000000003</v>
      </c>
      <c r="G353" s="11">
        <v>40.44</v>
      </c>
      <c r="H353" s="11">
        <v>1</v>
      </c>
      <c r="I353" s="11">
        <v>8.1007999999999996</v>
      </c>
      <c r="J353" s="11">
        <v>41.892200000000003</v>
      </c>
      <c r="K353" s="11">
        <v>1</v>
      </c>
      <c r="L353" s="15">
        <f t="shared" si="5"/>
        <v>6.7399999999999993</v>
      </c>
      <c r="M353" s="14">
        <f>IF(Tabla15[[#This Row],[COMBUSTIBLE]]="PETRÓLEO",L353*$Q$2,L353*$Q$4)</f>
        <v>8094.7399999999989</v>
      </c>
      <c r="N353" s="12" t="str">
        <f>IF(OR(WEEKDAY(Tabla15[[#This Row],[Fecha]],2)=6,WEEKDAY(Tabla15[[#This Row],[Fecha]],2)=7),"Fin de semana","Semana")</f>
        <v>Semana</v>
      </c>
    </row>
    <row r="354" spans="1:14" ht="12.75" customHeight="1" x14ac:dyDescent="0.25">
      <c r="A354" s="11" t="str">
        <f>_xlfn.XLOOKUP(Tabla15[[#This Row],[GPS]],Hoja3!A:A,Hoja3!B:B)</f>
        <v>TRACTOR</v>
      </c>
      <c r="B354" s="11" t="str">
        <f>_xlfn.XLOOKUP(GPS!D354,Hoja3!A:A,Hoja3!D:D)</f>
        <v>PETRÓLEO</v>
      </c>
      <c r="C354" s="12" t="str">
        <f>_xlfn.XLOOKUP(Tabla15[[#This Row],[GPS]],Hoja3!A:A,Hoja3!C:C)</f>
        <v>T10</v>
      </c>
      <c r="D354" s="12" t="s">
        <v>14</v>
      </c>
      <c r="E354" s="13">
        <v>46135</v>
      </c>
      <c r="F354" s="11">
        <v>7.4752999999999998</v>
      </c>
      <c r="G354" s="11">
        <v>23.57</v>
      </c>
      <c r="H354" s="11">
        <v>1</v>
      </c>
      <c r="I354" s="11">
        <v>7.0068999999999999</v>
      </c>
      <c r="J354" s="11">
        <v>70.190799999999996</v>
      </c>
      <c r="K354" s="11">
        <v>0.93</v>
      </c>
      <c r="L354" s="15">
        <f t="shared" si="5"/>
        <v>3.9283333333333332</v>
      </c>
      <c r="M354" s="14">
        <f>IF(Tabla15[[#This Row],[COMBUSTIBLE]]="PETRÓLEO",L354*$Q$2,L354*$Q$4)</f>
        <v>4717.9283333333333</v>
      </c>
      <c r="N354" s="12" t="str">
        <f>IF(OR(WEEKDAY(Tabla15[[#This Row],[Fecha]],2)=6,WEEKDAY(Tabla15[[#This Row],[Fecha]],2)=7),"Fin de semana","Semana")</f>
        <v>Semana</v>
      </c>
    </row>
    <row r="355" spans="1:14" ht="12.75" customHeight="1" x14ac:dyDescent="0.25">
      <c r="A355" s="11" t="str">
        <f>_xlfn.XLOOKUP(Tabla15[[#This Row],[GPS]],Hoja3!A:A,Hoja3!B:B)</f>
        <v>TRACTOR</v>
      </c>
      <c r="B355" s="11" t="str">
        <f>_xlfn.XLOOKUP(GPS!D355,Hoja3!A:A,Hoja3!D:D)</f>
        <v>PETRÓLEO</v>
      </c>
      <c r="C355" s="12" t="str">
        <f>_xlfn.XLOOKUP(Tabla15[[#This Row],[GPS]],Hoja3!A:A,Hoja3!C:C)</f>
        <v>T14</v>
      </c>
      <c r="D355" s="12" t="s">
        <v>21</v>
      </c>
      <c r="E355" s="13">
        <v>46136</v>
      </c>
      <c r="F355" s="11">
        <v>7.2050000000000001</v>
      </c>
      <c r="G355" s="11">
        <v>29.62</v>
      </c>
      <c r="H355" s="11">
        <v>1</v>
      </c>
      <c r="I355" s="11">
        <v>5.9859</v>
      </c>
      <c r="J355" s="11">
        <v>29.0001</v>
      </c>
      <c r="K355" s="11">
        <v>0.9</v>
      </c>
      <c r="L355" s="15">
        <f t="shared" si="5"/>
        <v>4.9366666666666665</v>
      </c>
      <c r="M355" s="14">
        <f>IF(Tabla15[[#This Row],[COMBUSTIBLE]]="PETRÓLEO",L355*$Q$2,L355*$Q$4)</f>
        <v>5928.9366666666665</v>
      </c>
      <c r="N355" s="12" t="str">
        <f>IF(OR(WEEKDAY(Tabla15[[#This Row],[Fecha]],2)=6,WEEKDAY(Tabla15[[#This Row],[Fecha]],2)=7),"Fin de semana","Semana")</f>
        <v>Semana</v>
      </c>
    </row>
    <row r="356" spans="1:14" ht="12.75" customHeight="1" x14ac:dyDescent="0.25">
      <c r="A356" s="11" t="str">
        <f>_xlfn.XLOOKUP(Tabla15[[#This Row],[GPS]],Hoja3!A:A,Hoja3!B:B)</f>
        <v>TRACTOR</v>
      </c>
      <c r="B356" s="11" t="str">
        <f>_xlfn.XLOOKUP(GPS!D356,Hoja3!A:A,Hoja3!D:D)</f>
        <v>PETRÓLEO</v>
      </c>
      <c r="C356" s="12" t="str">
        <f>_xlfn.XLOOKUP(Tabla15[[#This Row],[GPS]],Hoja3!A:A,Hoja3!C:C)</f>
        <v>T10</v>
      </c>
      <c r="D356" s="12" t="s">
        <v>14</v>
      </c>
      <c r="E356" s="13">
        <v>46136</v>
      </c>
      <c r="F356" s="11">
        <v>6.4341999999999997</v>
      </c>
      <c r="G356" s="11">
        <v>26.85</v>
      </c>
      <c r="H356" s="11">
        <v>1</v>
      </c>
      <c r="I356" s="11">
        <v>8.9270999999999994</v>
      </c>
      <c r="J356" s="11">
        <v>43.151600000000002</v>
      </c>
      <c r="K356" s="11">
        <v>0.8</v>
      </c>
      <c r="L356" s="15">
        <f t="shared" si="5"/>
        <v>4.4750000000000005</v>
      </c>
      <c r="M356" s="14">
        <f>IF(Tabla15[[#This Row],[COMBUSTIBLE]]="PETRÓLEO",L356*$Q$2,L356*$Q$4)</f>
        <v>5374.4750000000004</v>
      </c>
      <c r="N356" s="12" t="str">
        <f>IF(OR(WEEKDAY(Tabla15[[#This Row],[Fecha]],2)=6,WEEKDAY(Tabla15[[#This Row],[Fecha]],2)=7),"Fin de semana","Semana")</f>
        <v>Semana</v>
      </c>
    </row>
    <row r="357" spans="1:14" ht="12.75" customHeight="1" x14ac:dyDescent="0.25">
      <c r="A357" s="11" t="str">
        <f>_xlfn.XLOOKUP(Tabla15[[#This Row],[GPS]],Hoja3!A:A,Hoja3!B:B)</f>
        <v>TRACTOR</v>
      </c>
      <c r="B357" s="11" t="str">
        <f>_xlfn.XLOOKUP(GPS!D357,Hoja3!A:A,Hoja3!D:D)</f>
        <v>PETRÓLEO</v>
      </c>
      <c r="C357" s="12" t="str">
        <f>_xlfn.XLOOKUP(Tabla15[[#This Row],[GPS]],Hoja3!A:A,Hoja3!C:C)</f>
        <v>T13</v>
      </c>
      <c r="D357" s="12" t="s">
        <v>19</v>
      </c>
      <c r="E357" s="13">
        <v>46135</v>
      </c>
      <c r="F357" s="11">
        <v>6.42</v>
      </c>
      <c r="G357" s="11">
        <v>29.03</v>
      </c>
      <c r="H357" s="11">
        <v>1</v>
      </c>
      <c r="I357" s="11">
        <v>5.6524999999999999</v>
      </c>
      <c r="J357" s="11">
        <v>27.224399999999999</v>
      </c>
      <c r="K357" s="11">
        <v>0.8</v>
      </c>
      <c r="L357" s="15">
        <f t="shared" si="5"/>
        <v>4.8383333333333338</v>
      </c>
      <c r="M357" s="14">
        <f>IF(Tabla15[[#This Row],[COMBUSTIBLE]]="PETRÓLEO",L357*$Q$2,L357*$Q$4)</f>
        <v>5810.838333333334</v>
      </c>
      <c r="N357" s="12" t="str">
        <f>IF(OR(WEEKDAY(Tabla15[[#This Row],[Fecha]],2)=6,WEEKDAY(Tabla15[[#This Row],[Fecha]],2)=7),"Fin de semana","Semana")</f>
        <v>Semana</v>
      </c>
    </row>
    <row r="358" spans="1:14" ht="12.75" customHeight="1" x14ac:dyDescent="0.25">
      <c r="A358" s="11" t="str">
        <f>_xlfn.XLOOKUP(Tabla15[[#This Row],[GPS]],Hoja3!A:A,Hoja3!B:B)</f>
        <v>TRACTOR</v>
      </c>
      <c r="B358" s="11" t="str">
        <f>_xlfn.XLOOKUP(GPS!D358,Hoja3!A:A,Hoja3!D:D)</f>
        <v>PETRÓLEO</v>
      </c>
      <c r="C358" s="12" t="str">
        <f>_xlfn.XLOOKUP(Tabla15[[#This Row],[GPS]],Hoja3!A:A,Hoja3!C:C)</f>
        <v>T6</v>
      </c>
      <c r="D358" s="12" t="s">
        <v>25</v>
      </c>
      <c r="E358" s="13">
        <v>46136</v>
      </c>
      <c r="F358" s="11">
        <v>5.7149999999999999</v>
      </c>
      <c r="G358" s="11">
        <v>40.549999999999997</v>
      </c>
      <c r="H358" s="11">
        <v>1</v>
      </c>
      <c r="I358" s="11">
        <v>10.567600000000001</v>
      </c>
      <c r="J358" s="11">
        <v>37.04</v>
      </c>
      <c r="K358" s="11">
        <v>0.71</v>
      </c>
      <c r="L358" s="15">
        <f t="shared" si="5"/>
        <v>6.7583333333333329</v>
      </c>
      <c r="M358" s="14">
        <f>IF(Tabla15[[#This Row],[COMBUSTIBLE]]="PETRÓLEO",L358*$Q$2,L358*$Q$4)</f>
        <v>8116.7583333333332</v>
      </c>
      <c r="N358" s="12" t="str">
        <f>IF(OR(WEEKDAY(Tabla15[[#This Row],[Fecha]],2)=6,WEEKDAY(Tabla15[[#This Row],[Fecha]],2)=7),"Fin de semana","Semana")</f>
        <v>Semana</v>
      </c>
    </row>
    <row r="359" spans="1:14" ht="12.75" customHeight="1" x14ac:dyDescent="0.25">
      <c r="A359" s="11" t="str">
        <f>_xlfn.XLOOKUP(Tabla15[[#This Row],[GPS]],Hoja3!A:A,Hoja3!B:B)</f>
        <v>CAMIONETA</v>
      </c>
      <c r="B359" s="11" t="str">
        <f>_xlfn.XLOOKUP(GPS!D359,Hoja3!A:A,Hoja3!D:D)</f>
        <v>PETRÓLEO</v>
      </c>
      <c r="C359" s="12" t="str">
        <f>_xlfn.XLOOKUP(Tabla15[[#This Row],[GPS]],Hoja3!A:A,Hoja3!C:C)</f>
        <v>CAMPO PAINE</v>
      </c>
      <c r="D359" s="12" t="s">
        <v>131</v>
      </c>
      <c r="E359" s="13">
        <v>46136</v>
      </c>
      <c r="F359" s="11">
        <v>5.4283000000000001</v>
      </c>
      <c r="G359" s="11">
        <v>34.89</v>
      </c>
      <c r="H359" s="11">
        <v>1</v>
      </c>
      <c r="I359" s="11">
        <v>15.307499999999999</v>
      </c>
      <c r="J359" s="11">
        <v>148.69710000000001</v>
      </c>
      <c r="K359" s="11">
        <v>0.68</v>
      </c>
      <c r="L359" s="15">
        <f t="shared" si="5"/>
        <v>3.8766666666666669</v>
      </c>
      <c r="M359" s="14">
        <f>IF(Tabla15[[#This Row],[COMBUSTIBLE]]="PETRÓLEO",L359*$Q$2,L359*$Q$4)</f>
        <v>4655.876666666667</v>
      </c>
      <c r="N359" s="12" t="str">
        <f>IF(OR(WEEKDAY(Tabla15[[#This Row],[Fecha]],2)=6,WEEKDAY(Tabla15[[#This Row],[Fecha]],2)=7),"Fin de semana","Semana")</f>
        <v>Semana</v>
      </c>
    </row>
    <row r="360" spans="1:14" ht="12.75" customHeight="1" x14ac:dyDescent="0.25">
      <c r="A360" s="11" t="str">
        <f>_xlfn.XLOOKUP(Tabla15[[#This Row],[GPS]],Hoja3!A:A,Hoja3!B:B)</f>
        <v>TRACTOR</v>
      </c>
      <c r="B360" s="11" t="str">
        <f>_xlfn.XLOOKUP(GPS!D360,Hoja3!A:A,Hoja3!D:D)</f>
        <v>PETRÓLEO</v>
      </c>
      <c r="C360" s="12" t="str">
        <f>_xlfn.XLOOKUP(Tabla15[[#This Row],[GPS]],Hoja3!A:A,Hoja3!C:C)</f>
        <v>T8</v>
      </c>
      <c r="D360" s="12" t="s">
        <v>27</v>
      </c>
      <c r="E360" s="13">
        <v>46136</v>
      </c>
      <c r="F360" s="11">
        <v>4.6257999999999999</v>
      </c>
      <c r="G360" s="11">
        <v>17.97</v>
      </c>
      <c r="H360" s="11">
        <v>1</v>
      </c>
      <c r="I360" s="11">
        <v>6.5103999999999997</v>
      </c>
      <c r="J360" s="11">
        <v>34.373100000000001</v>
      </c>
      <c r="K360" s="11">
        <v>0.57999999999999996</v>
      </c>
      <c r="L360" s="15">
        <f t="shared" si="5"/>
        <v>2.9949999999999997</v>
      </c>
      <c r="M360" s="14">
        <f>IF(Tabla15[[#This Row],[COMBUSTIBLE]]="PETRÓLEO",L360*$Q$2,L360*$Q$4)</f>
        <v>3596.9949999999994</v>
      </c>
      <c r="N360" s="12" t="str">
        <f>IF(OR(WEEKDAY(Tabla15[[#This Row],[Fecha]],2)=6,WEEKDAY(Tabla15[[#This Row],[Fecha]],2)=7),"Fin de semana","Semana")</f>
        <v>Semana</v>
      </c>
    </row>
    <row r="361" spans="1:14" ht="12.75" customHeight="1" x14ac:dyDescent="0.25">
      <c r="A361" s="11" t="str">
        <f>_xlfn.XLOOKUP(Tabla15[[#This Row],[GPS]],Hoja3!A:A,Hoja3!B:B)</f>
        <v>CAMIONETA</v>
      </c>
      <c r="B361" s="11" t="str">
        <f>_xlfn.XLOOKUP(GPS!D361,Hoja3!A:A,Hoja3!D:D)</f>
        <v>PETRÓLEO</v>
      </c>
      <c r="C361" s="12" t="str">
        <f>_xlfn.XLOOKUP(Tabla15[[#This Row],[GPS]],Hoja3!A:A,Hoja3!C:C)</f>
        <v>RODRIGO SALINAS</v>
      </c>
      <c r="D361" s="12" t="s">
        <v>109</v>
      </c>
      <c r="E361" s="13">
        <v>46135</v>
      </c>
      <c r="F361" s="11">
        <v>4.5647000000000002</v>
      </c>
      <c r="G361" s="11">
        <v>157.25</v>
      </c>
      <c r="H361" s="11">
        <v>1</v>
      </c>
      <c r="I361" s="11">
        <v>38.806699999999999</v>
      </c>
      <c r="J361" s="11">
        <v>188.25579999999999</v>
      </c>
      <c r="K361" s="11">
        <v>0.56999999999999995</v>
      </c>
      <c r="L361" s="15">
        <f t="shared" si="5"/>
        <v>17.472222222222221</v>
      </c>
      <c r="M361" s="14">
        <f>IF(Tabla15[[#This Row],[COMBUSTIBLE]]="PETRÓLEO",L361*$Q$2,L361*$Q$4)</f>
        <v>20984.138888888887</v>
      </c>
      <c r="N361" s="12" t="str">
        <f>IF(OR(WEEKDAY(Tabla15[[#This Row],[Fecha]],2)=6,WEEKDAY(Tabla15[[#This Row],[Fecha]],2)=7),"Fin de semana","Semana")</f>
        <v>Semana</v>
      </c>
    </row>
    <row r="362" spans="1:14" ht="12.75" customHeight="1" x14ac:dyDescent="0.25">
      <c r="A362" s="11" t="str">
        <f>_xlfn.XLOOKUP(Tabla15[[#This Row],[GPS]],Hoja3!A:A,Hoja3!B:B)</f>
        <v>TRACTOR</v>
      </c>
      <c r="B362" s="11" t="str">
        <f>_xlfn.XLOOKUP(GPS!D362,Hoja3!A:A,Hoja3!D:D)</f>
        <v>PETRÓLEO</v>
      </c>
      <c r="C362" s="12" t="str">
        <f>_xlfn.XLOOKUP(Tabla15[[#This Row],[GPS]],Hoja3!A:A,Hoja3!C:C)</f>
        <v>T14</v>
      </c>
      <c r="D362" s="12" t="s">
        <v>21</v>
      </c>
      <c r="E362" s="13">
        <v>46135</v>
      </c>
      <c r="F362" s="11">
        <v>4.5430999999999999</v>
      </c>
      <c r="G362" s="11">
        <v>8.86</v>
      </c>
      <c r="H362" s="11">
        <v>1</v>
      </c>
      <c r="I362" s="11">
        <v>13.367599999999999</v>
      </c>
      <c r="J362" s="11">
        <v>67.005399999999995</v>
      </c>
      <c r="K362" s="11">
        <v>0.56999999999999995</v>
      </c>
      <c r="L362" s="15">
        <f t="shared" si="5"/>
        <v>1.4766666666666666</v>
      </c>
      <c r="M362" s="14">
        <f>IF(Tabla15[[#This Row],[COMBUSTIBLE]]="PETRÓLEO",L362*$Q$2,L362*$Q$4)</f>
        <v>1773.4766666666665</v>
      </c>
      <c r="N362" s="12" t="str">
        <f>IF(OR(WEEKDAY(Tabla15[[#This Row],[Fecha]],2)=6,WEEKDAY(Tabla15[[#This Row],[Fecha]],2)=7),"Fin de semana","Semana")</f>
        <v>Semana</v>
      </c>
    </row>
    <row r="363" spans="1:14" ht="12.75" customHeight="1" x14ac:dyDescent="0.25">
      <c r="A363" s="11" t="str">
        <f>_xlfn.XLOOKUP(Tabla15[[#This Row],[GPS]],Hoja3!A:A,Hoja3!B:B)</f>
        <v>TRACTOR</v>
      </c>
      <c r="B363" s="11" t="str">
        <f>_xlfn.XLOOKUP(GPS!D363,Hoja3!A:A,Hoja3!D:D)</f>
        <v>PETRÓLEO</v>
      </c>
      <c r="C363" s="12" t="str">
        <f>_xlfn.XLOOKUP(Tabla15[[#This Row],[GPS]],Hoja3!A:A,Hoja3!C:C)</f>
        <v>T8</v>
      </c>
      <c r="D363" s="12" t="s">
        <v>27</v>
      </c>
      <c r="E363" s="13">
        <v>46135</v>
      </c>
      <c r="F363" s="11">
        <v>4.3841999999999999</v>
      </c>
      <c r="G363" s="11">
        <v>22.58</v>
      </c>
      <c r="H363" s="11">
        <v>1</v>
      </c>
      <c r="I363" s="11">
        <v>7.2325999999999997</v>
      </c>
      <c r="J363" s="11">
        <v>33.298999999999999</v>
      </c>
      <c r="K363" s="11">
        <v>0.55000000000000004</v>
      </c>
      <c r="L363" s="15">
        <f t="shared" si="5"/>
        <v>3.7633333333333332</v>
      </c>
      <c r="M363" s="14">
        <f>IF(Tabla15[[#This Row],[COMBUSTIBLE]]="PETRÓLEO",L363*$Q$2,L363*$Q$4)</f>
        <v>4519.7633333333333</v>
      </c>
      <c r="N363" s="12" t="str">
        <f>IF(OR(WEEKDAY(Tabla15[[#This Row],[Fecha]],2)=6,WEEKDAY(Tabla15[[#This Row],[Fecha]],2)=7),"Fin de semana","Semana")</f>
        <v>Semana</v>
      </c>
    </row>
    <row r="364" spans="1:14" ht="12.75" customHeight="1" x14ac:dyDescent="0.25">
      <c r="A364" s="11" t="str">
        <f>_xlfn.XLOOKUP(Tabla15[[#This Row],[GPS]],Hoja3!A:A,Hoja3!B:B)</f>
        <v>CAMIONETA</v>
      </c>
      <c r="B364" s="11" t="str">
        <f>_xlfn.XLOOKUP(GPS!D364,Hoja3!A:A,Hoja3!D:D)</f>
        <v>PETRÓLEO</v>
      </c>
      <c r="C364" s="12" t="str">
        <f>_xlfn.XLOOKUP(Tabla15[[#This Row],[GPS]],Hoja3!A:A,Hoja3!C:C)</f>
        <v>CAMPO PAINE</v>
      </c>
      <c r="D364" s="12" t="s">
        <v>131</v>
      </c>
      <c r="E364" s="13">
        <v>46135</v>
      </c>
      <c r="F364" s="11">
        <v>4.3219000000000003</v>
      </c>
      <c r="G364" s="11">
        <v>29.09</v>
      </c>
      <c r="H364" s="11">
        <v>1</v>
      </c>
      <c r="I364" s="11">
        <v>14.722799999999999</v>
      </c>
      <c r="J364" s="11">
        <v>68.357299999999995</v>
      </c>
      <c r="K364" s="11">
        <v>0.54</v>
      </c>
      <c r="L364" s="15">
        <f t="shared" si="5"/>
        <v>3.2322222222222221</v>
      </c>
      <c r="M364" s="14">
        <f>IF(Tabla15[[#This Row],[COMBUSTIBLE]]="PETRÓLEO",L364*$Q$2,L364*$Q$4)</f>
        <v>3881.8988888888889</v>
      </c>
      <c r="N364" s="12" t="str">
        <f>IF(OR(WEEKDAY(Tabla15[[#This Row],[Fecha]],2)=6,WEEKDAY(Tabla15[[#This Row],[Fecha]],2)=7),"Fin de semana","Semana")</f>
        <v>Semana</v>
      </c>
    </row>
    <row r="365" spans="1:14" ht="12.75" customHeight="1" x14ac:dyDescent="0.25">
      <c r="A365" s="11" t="str">
        <f>_xlfn.XLOOKUP(Tabla15[[#This Row],[GPS]],Hoja3!A:A,Hoja3!B:B)</f>
        <v>CAMIONETA</v>
      </c>
      <c r="B365" s="11" t="str">
        <f>_xlfn.XLOOKUP(GPS!D365,Hoja3!A:A,Hoja3!D:D)</f>
        <v>PETRÓLEO</v>
      </c>
      <c r="C365" s="12" t="str">
        <f>_xlfn.XLOOKUP(Tabla15[[#This Row],[GPS]],Hoja3!A:A,Hoja3!C:C)</f>
        <v>CAMPO CERRILLOS</v>
      </c>
      <c r="D365" s="12" t="s">
        <v>121</v>
      </c>
      <c r="E365" s="13">
        <v>46136</v>
      </c>
      <c r="F365" s="11">
        <v>3.9510999999999998</v>
      </c>
      <c r="G365" s="11">
        <v>48.3</v>
      </c>
      <c r="H365" s="11">
        <v>1</v>
      </c>
      <c r="I365" s="11">
        <v>19.308800000000002</v>
      </c>
      <c r="J365" s="11">
        <v>97</v>
      </c>
      <c r="K365" s="11">
        <v>0.49</v>
      </c>
      <c r="L365" s="15">
        <f t="shared" si="5"/>
        <v>5.3666666666666663</v>
      </c>
      <c r="M365" s="14">
        <f>IF(Tabla15[[#This Row],[COMBUSTIBLE]]="PETRÓLEO",L365*$Q$2,L365*$Q$4)</f>
        <v>6445.3666666666659</v>
      </c>
      <c r="N365" s="12" t="str">
        <f>IF(OR(WEEKDAY(Tabla15[[#This Row],[Fecha]],2)=6,WEEKDAY(Tabla15[[#This Row],[Fecha]],2)=7),"Fin de semana","Semana")</f>
        <v>Semana</v>
      </c>
    </row>
    <row r="366" spans="1:14" ht="12.75" customHeight="1" x14ac:dyDescent="0.25">
      <c r="A366" s="11" t="str">
        <f>_xlfn.XLOOKUP(Tabla15[[#This Row],[GPS]],Hoja3!A:A,Hoja3!B:B)</f>
        <v>TRACTOR</v>
      </c>
      <c r="B366" s="11" t="str">
        <f>_xlfn.XLOOKUP(GPS!D366,Hoja3!A:A,Hoja3!D:D)</f>
        <v>PETRÓLEO</v>
      </c>
      <c r="C366" s="12" t="str">
        <f>_xlfn.XLOOKUP(Tabla15[[#This Row],[GPS]],Hoja3!A:A,Hoja3!C:C)</f>
        <v>T6</v>
      </c>
      <c r="D366" s="12" t="s">
        <v>25</v>
      </c>
      <c r="E366" s="13">
        <v>46135</v>
      </c>
      <c r="F366" s="11">
        <v>3.7974999999999999</v>
      </c>
      <c r="G366" s="11">
        <v>5.13</v>
      </c>
      <c r="H366" s="11">
        <v>1</v>
      </c>
      <c r="I366" s="11">
        <v>4.5145999999999997</v>
      </c>
      <c r="J366" s="11">
        <v>22.279599999999999</v>
      </c>
      <c r="K366" s="11">
        <v>0.47</v>
      </c>
      <c r="L366" s="15">
        <f t="shared" si="5"/>
        <v>0.85499999999999998</v>
      </c>
      <c r="M366" s="14">
        <f>IF(Tabla15[[#This Row],[COMBUSTIBLE]]="PETRÓLEO",L366*$Q$2,L366*$Q$4)</f>
        <v>1026.855</v>
      </c>
      <c r="N366" s="12" t="str">
        <f>IF(OR(WEEKDAY(Tabla15[[#This Row],[Fecha]],2)=6,WEEKDAY(Tabla15[[#This Row],[Fecha]],2)=7),"Fin de semana","Semana")</f>
        <v>Semana</v>
      </c>
    </row>
    <row r="367" spans="1:14" ht="12.75" customHeight="1" x14ac:dyDescent="0.25">
      <c r="A367" s="11" t="str">
        <f>_xlfn.XLOOKUP(Tabla15[[#This Row],[GPS]],Hoja3!A:A,Hoja3!B:B)</f>
        <v>CAMIONETA</v>
      </c>
      <c r="B367" s="11" t="str">
        <f>_xlfn.XLOOKUP(GPS!D367,Hoja3!A:A,Hoja3!D:D)</f>
        <v>PETRÓLEO</v>
      </c>
      <c r="C367" s="12" t="str">
        <f>_xlfn.XLOOKUP(Tabla15[[#This Row],[GPS]],Hoja3!A:A,Hoja3!C:C)</f>
        <v>GONZALO GUERRERO</v>
      </c>
      <c r="D367" s="12" t="s">
        <v>126</v>
      </c>
      <c r="E367" s="13">
        <v>46136</v>
      </c>
      <c r="F367" s="11">
        <v>3.4824999999999999</v>
      </c>
      <c r="G367" s="11">
        <v>59.8</v>
      </c>
      <c r="H367" s="11">
        <v>1</v>
      </c>
      <c r="I367" s="11">
        <v>25.5169</v>
      </c>
      <c r="J367" s="11">
        <v>139</v>
      </c>
      <c r="K367" s="11">
        <v>0.44</v>
      </c>
      <c r="L367" s="15">
        <f t="shared" si="5"/>
        <v>6.6444444444444439</v>
      </c>
      <c r="M367" s="14">
        <f>IF(Tabla15[[#This Row],[COMBUSTIBLE]]="PETRÓLEO",L367*$Q$2,L367*$Q$4)</f>
        <v>7979.9777777777772</v>
      </c>
      <c r="N367" s="12" t="str">
        <f>IF(OR(WEEKDAY(Tabla15[[#This Row],[Fecha]],2)=6,WEEKDAY(Tabla15[[#This Row],[Fecha]],2)=7),"Fin de semana","Semana")</f>
        <v>Semana</v>
      </c>
    </row>
    <row r="368" spans="1:14" ht="12.75" customHeight="1" x14ac:dyDescent="0.25">
      <c r="A368" s="11" t="str">
        <f>_xlfn.XLOOKUP(Tabla15[[#This Row],[GPS]],Hoja3!A:A,Hoja3!B:B)</f>
        <v>CAMIONETA</v>
      </c>
      <c r="B368" s="11" t="str">
        <f>_xlfn.XLOOKUP(GPS!D368,Hoja3!A:A,Hoja3!D:D)</f>
        <v>PETRÓLEO</v>
      </c>
      <c r="C368" s="12" t="str">
        <f>_xlfn.XLOOKUP(Tabla15[[#This Row],[GPS]],Hoja3!A:A,Hoja3!C:C)</f>
        <v>CAMPO CERRILLOS</v>
      </c>
      <c r="D368" s="12" t="s">
        <v>121</v>
      </c>
      <c r="E368" s="13">
        <v>46135</v>
      </c>
      <c r="F368" s="11">
        <v>3.1642000000000001</v>
      </c>
      <c r="G368" s="11">
        <v>166.7</v>
      </c>
      <c r="H368" s="11">
        <v>1</v>
      </c>
      <c r="I368" s="11">
        <v>35.398800000000001</v>
      </c>
      <c r="J368" s="11">
        <v>166.66149999999999</v>
      </c>
      <c r="K368" s="11">
        <v>0.4</v>
      </c>
      <c r="L368" s="15">
        <f t="shared" si="5"/>
        <v>18.522222222222222</v>
      </c>
      <c r="M368" s="14">
        <f>IF(Tabla15[[#This Row],[COMBUSTIBLE]]="PETRÓLEO",L368*$Q$2,L368*$Q$4)</f>
        <v>22245.18888888889</v>
      </c>
      <c r="N368" s="12" t="str">
        <f>IF(OR(WEEKDAY(Tabla15[[#This Row],[Fecha]],2)=6,WEEKDAY(Tabla15[[#This Row],[Fecha]],2)=7),"Fin de semana","Semana")</f>
        <v>Semana</v>
      </c>
    </row>
    <row r="369" spans="1:14" ht="12.75" customHeight="1" x14ac:dyDescent="0.25">
      <c r="A369" s="11" t="str">
        <f>_xlfn.XLOOKUP(Tabla15[[#This Row],[GPS]],Hoja3!A:A,Hoja3!B:B)</f>
        <v>CAMIONETA</v>
      </c>
      <c r="B369" s="11" t="str">
        <f>_xlfn.XLOOKUP(GPS!D369,Hoja3!A:A,Hoja3!D:D)</f>
        <v>PETRÓLEO</v>
      </c>
      <c r="C369" s="12" t="str">
        <f>_xlfn.XLOOKUP(Tabla15[[#This Row],[GPS]],Hoja3!A:A,Hoja3!C:C)</f>
        <v>RODRIGO SALINAS</v>
      </c>
      <c r="D369" s="12" t="s">
        <v>109</v>
      </c>
      <c r="E369" s="13">
        <v>46136</v>
      </c>
      <c r="F369" s="11">
        <v>3.0360999999999998</v>
      </c>
      <c r="G369" s="11">
        <v>128.58000000000001</v>
      </c>
      <c r="H369" s="11">
        <v>1</v>
      </c>
      <c r="I369" s="11">
        <v>46.2712</v>
      </c>
      <c r="J369" s="11">
        <v>170.9581</v>
      </c>
      <c r="K369" s="11">
        <v>0.38</v>
      </c>
      <c r="L369" s="15">
        <f t="shared" si="5"/>
        <v>14.286666666666669</v>
      </c>
      <c r="M369" s="14">
        <f>IF(Tabla15[[#This Row],[COMBUSTIBLE]]="PETRÓLEO",L369*$Q$2,L369*$Q$4)</f>
        <v>17158.28666666667</v>
      </c>
      <c r="N369" s="12" t="str">
        <f>IF(OR(WEEKDAY(Tabla15[[#This Row],[Fecha]],2)=6,WEEKDAY(Tabla15[[#This Row],[Fecha]],2)=7),"Fin de semana","Semana")</f>
        <v>Semana</v>
      </c>
    </row>
    <row r="370" spans="1:14" ht="12.75" customHeight="1" x14ac:dyDescent="0.25">
      <c r="A370" s="11" t="str">
        <f>_xlfn.XLOOKUP(Tabla15[[#This Row],[GPS]],Hoja3!A:A,Hoja3!B:B)</f>
        <v>CAMIONETA</v>
      </c>
      <c r="B370" s="11" t="str">
        <f>_xlfn.XLOOKUP(GPS!D370,Hoja3!A:A,Hoja3!D:D)</f>
        <v>PETRÓLEO</v>
      </c>
      <c r="C370" s="12" t="str">
        <f>_xlfn.XLOOKUP(Tabla15[[#This Row],[GPS]],Hoja3!A:A,Hoja3!C:C)</f>
        <v>CAMPO RULO</v>
      </c>
      <c r="D370" s="12" t="s">
        <v>135</v>
      </c>
      <c r="E370" s="13">
        <v>46136</v>
      </c>
      <c r="F370" s="11">
        <v>2.5013999999999998</v>
      </c>
      <c r="G370" s="11">
        <v>39.89</v>
      </c>
      <c r="H370" s="11">
        <v>1</v>
      </c>
      <c r="I370" s="11">
        <v>21.171700000000001</v>
      </c>
      <c r="J370" s="11">
        <v>79.561899999999994</v>
      </c>
      <c r="K370" s="11">
        <v>0.31</v>
      </c>
      <c r="L370" s="15">
        <f t="shared" si="5"/>
        <v>4.4322222222222223</v>
      </c>
      <c r="M370" s="14">
        <f>IF(Tabla15[[#This Row],[COMBUSTIBLE]]="PETRÓLEO",L370*$Q$2,L370*$Q$4)</f>
        <v>5323.0988888888887</v>
      </c>
      <c r="N370" s="12" t="str">
        <f>IF(OR(WEEKDAY(Tabla15[[#This Row],[Fecha]],2)=6,WEEKDAY(Tabla15[[#This Row],[Fecha]],2)=7),"Fin de semana","Semana")</f>
        <v>Semana</v>
      </c>
    </row>
    <row r="371" spans="1:14" ht="12.75" customHeight="1" x14ac:dyDescent="0.25">
      <c r="A371" s="11" t="str">
        <f>_xlfn.XLOOKUP(Tabla15[[#This Row],[GPS]],Hoja3!A:A,Hoja3!B:B)</f>
        <v>CAMIONETA</v>
      </c>
      <c r="B371" s="11" t="str">
        <f>_xlfn.XLOOKUP(GPS!D371,Hoja3!A:A,Hoja3!D:D)</f>
        <v>PETRÓLEO</v>
      </c>
      <c r="C371" s="12" t="str">
        <f>_xlfn.XLOOKUP(Tabla15[[#This Row],[GPS]],Hoja3!A:A,Hoja3!C:C)</f>
        <v>CAMPO RULO</v>
      </c>
      <c r="D371" s="12" t="s">
        <v>135</v>
      </c>
      <c r="E371" s="13">
        <v>46135</v>
      </c>
      <c r="F371" s="11">
        <v>2.3325</v>
      </c>
      <c r="G371" s="11">
        <v>26.9</v>
      </c>
      <c r="H371" s="11">
        <v>1</v>
      </c>
      <c r="I371" s="11">
        <v>16.0181</v>
      </c>
      <c r="J371" s="11">
        <v>70</v>
      </c>
      <c r="K371" s="11">
        <v>0.28999999999999998</v>
      </c>
      <c r="L371" s="15">
        <f t="shared" si="5"/>
        <v>2.9888888888888889</v>
      </c>
      <c r="M371" s="14">
        <f>IF(Tabla15[[#This Row],[COMBUSTIBLE]]="PETRÓLEO",L371*$Q$2,L371*$Q$4)</f>
        <v>3589.6555555555556</v>
      </c>
      <c r="N371" s="12" t="str">
        <f>IF(OR(WEEKDAY(Tabla15[[#This Row],[Fecha]],2)=6,WEEKDAY(Tabla15[[#This Row],[Fecha]],2)=7),"Fin de semana","Semana")</f>
        <v>Semana</v>
      </c>
    </row>
    <row r="372" spans="1:14" ht="12.75" customHeight="1" x14ac:dyDescent="0.25">
      <c r="A372" s="11" t="str">
        <f>_xlfn.XLOOKUP(Tabla15[[#This Row],[GPS]],Hoja3!A:A,Hoja3!B:B)</f>
        <v>CAMIONETA</v>
      </c>
      <c r="B372" s="11" t="str">
        <f>_xlfn.XLOOKUP(GPS!D372,Hoja3!A:A,Hoja3!D:D)</f>
        <v>PETRÓLEO</v>
      </c>
      <c r="C372" s="12" t="str">
        <f>_xlfn.XLOOKUP(Tabla15[[#This Row],[GPS]],Hoja3!A:A,Hoja3!C:C)</f>
        <v>GONZALO GUERRERO</v>
      </c>
      <c r="D372" s="12" t="s">
        <v>126</v>
      </c>
      <c r="E372" s="13">
        <v>46135</v>
      </c>
      <c r="F372" s="11">
        <v>2.1505999999999998</v>
      </c>
      <c r="G372" s="11">
        <v>51.79</v>
      </c>
      <c r="H372" s="11">
        <v>1</v>
      </c>
      <c r="I372" s="11">
        <v>28.886299999999999</v>
      </c>
      <c r="J372" s="11">
        <v>97</v>
      </c>
      <c r="K372" s="11">
        <v>0.27</v>
      </c>
      <c r="L372" s="15">
        <f t="shared" si="5"/>
        <v>5.7544444444444443</v>
      </c>
      <c r="M372" s="14">
        <f>IF(Tabla15[[#This Row],[COMBUSTIBLE]]="PETRÓLEO",L372*$Q$2,L372*$Q$4)</f>
        <v>6911.0877777777778</v>
      </c>
      <c r="N372" s="12" t="str">
        <f>IF(OR(WEEKDAY(Tabla15[[#This Row],[Fecha]],2)=6,WEEKDAY(Tabla15[[#This Row],[Fecha]],2)=7),"Fin de semana","Semana")</f>
        <v>Semana</v>
      </c>
    </row>
    <row r="373" spans="1:14" ht="12.75" customHeight="1" x14ac:dyDescent="0.25">
      <c r="A373" s="11" t="str">
        <f>_xlfn.XLOOKUP(Tabla15[[#This Row],[GPS]],Hoja3!A:A,Hoja3!B:B)</f>
        <v>CAMIONETA</v>
      </c>
      <c r="B373" s="11" t="str">
        <f>_xlfn.XLOOKUP(GPS!D373,Hoja3!A:A,Hoja3!D:D)</f>
        <v>PETRÓLEO</v>
      </c>
      <c r="C373" s="12" t="str">
        <f>_xlfn.XLOOKUP(Tabla15[[#This Row],[GPS]],Hoja3!A:A,Hoja3!C:C)</f>
        <v>CAMPO PAINE</v>
      </c>
      <c r="D373" s="12" t="s">
        <v>131</v>
      </c>
      <c r="E373" s="13">
        <v>46137</v>
      </c>
      <c r="F373" s="11">
        <v>0.87719999999999998</v>
      </c>
      <c r="G373" s="11">
        <v>10.58</v>
      </c>
      <c r="H373" s="11">
        <v>1</v>
      </c>
      <c r="I373" s="11">
        <v>23.650200000000002</v>
      </c>
      <c r="J373" s="11">
        <v>111.2867</v>
      </c>
      <c r="K373" s="11">
        <v>0.11</v>
      </c>
      <c r="L373" s="15">
        <f t="shared" si="5"/>
        <v>1.1755555555555555</v>
      </c>
      <c r="M373" s="14">
        <f>IF(Tabla15[[#This Row],[COMBUSTIBLE]]="PETRÓLEO",L373*$Q$2,L373*$Q$4)</f>
        <v>1411.8422222222221</v>
      </c>
      <c r="N373" s="12" t="str">
        <f>IF(OR(WEEKDAY(Tabla15[[#This Row],[Fecha]],2)=6,WEEKDAY(Tabla15[[#This Row],[Fecha]],2)=7),"Fin de semana","Semana")</f>
        <v>Fin de semana</v>
      </c>
    </row>
    <row r="374" spans="1:14" ht="12.75" customHeight="1" x14ac:dyDescent="0.25">
      <c r="A374" s="11" t="str">
        <f>_xlfn.XLOOKUP(Tabla15[[#This Row],[GPS]],Hoja3!A:A,Hoja3!B:B)</f>
        <v>TRACTOR</v>
      </c>
      <c r="B374" s="11" t="str">
        <f>_xlfn.XLOOKUP(GPS!D374,Hoja3!A:A,Hoja3!D:D)</f>
        <v>PETRÓLEO</v>
      </c>
      <c r="C374" s="12" t="str">
        <f>_xlfn.XLOOKUP(Tabla15[[#This Row],[GPS]],Hoja3!A:A,Hoja3!C:C)</f>
        <v>T4</v>
      </c>
      <c r="D374" s="12" t="s">
        <v>23</v>
      </c>
      <c r="E374" s="13">
        <v>46136</v>
      </c>
      <c r="F374" s="11">
        <v>0.81279999999999997</v>
      </c>
      <c r="G374" s="11">
        <v>8.51</v>
      </c>
      <c r="H374" s="11">
        <v>1</v>
      </c>
      <c r="I374" s="11">
        <v>14.4696</v>
      </c>
      <c r="J374" s="11">
        <v>70.709400000000002</v>
      </c>
      <c r="K374" s="11">
        <v>0.1</v>
      </c>
      <c r="L374" s="15">
        <f t="shared" si="5"/>
        <v>1.4183333333333332</v>
      </c>
      <c r="M374" s="14">
        <f>IF(Tabla15[[#This Row],[COMBUSTIBLE]]="PETRÓLEO",L374*$Q$2,L374*$Q$4)</f>
        <v>1703.4183333333333</v>
      </c>
      <c r="N374" s="12" t="str">
        <f>IF(OR(WEEKDAY(Tabla15[[#This Row],[Fecha]],2)=6,WEEKDAY(Tabla15[[#This Row],[Fecha]],2)=7),"Fin de semana","Semana")</f>
        <v>Semana</v>
      </c>
    </row>
    <row r="375" spans="1:14" ht="12.75" customHeight="1" x14ac:dyDescent="0.25">
      <c r="A375" s="11" t="str">
        <f>_xlfn.XLOOKUP(Tabla15[[#This Row],[GPS]],Hoja3!A:A,Hoja3!B:B)</f>
        <v>TRACTOR</v>
      </c>
      <c r="B375" s="11" t="str">
        <f>_xlfn.XLOOKUP(GPS!D375,Hoja3!A:A,Hoja3!D:D)</f>
        <v>PETRÓLEO</v>
      </c>
      <c r="C375" s="12" t="str">
        <f>_xlfn.XLOOKUP(Tabla15[[#This Row],[GPS]],Hoja3!A:A,Hoja3!C:C)</f>
        <v>T4</v>
      </c>
      <c r="D375" s="12" t="s">
        <v>23</v>
      </c>
      <c r="E375" s="13">
        <v>46135</v>
      </c>
      <c r="F375" s="11">
        <v>0.40749999999999997</v>
      </c>
      <c r="G375" s="11">
        <v>0.03</v>
      </c>
      <c r="H375" s="11">
        <v>0</v>
      </c>
      <c r="I375" s="11">
        <v>6.0468000000000002</v>
      </c>
      <c r="J375" s="11">
        <v>11.2416</v>
      </c>
      <c r="K375" s="11">
        <v>0.05</v>
      </c>
      <c r="L375" s="15">
        <f t="shared" si="5"/>
        <v>5.0000000000000001E-3</v>
      </c>
      <c r="M375" s="14">
        <f>IF(Tabla15[[#This Row],[COMBUSTIBLE]]="PETRÓLEO",L375*$Q$2,L375*$Q$4)</f>
        <v>6.0049999999999999</v>
      </c>
      <c r="N375" s="12" t="str">
        <f>IF(OR(WEEKDAY(Tabla15[[#This Row],[Fecha]],2)=6,WEEKDAY(Tabla15[[#This Row],[Fecha]],2)=7),"Fin de semana","Semana")</f>
        <v>Semana</v>
      </c>
    </row>
    <row r="376" spans="1:14" ht="12.75" customHeight="1" x14ac:dyDescent="0.25">
      <c r="A376" s="11" t="str">
        <f>_xlfn.XLOOKUP(Tabla15[[#This Row],[GPS]],Hoja3!A:A,Hoja3!B:B)</f>
        <v>TRACTOR</v>
      </c>
      <c r="B376" s="11" t="str">
        <f>_xlfn.XLOOKUP(GPS!D376,Hoja3!A:A,Hoja3!D:D)</f>
        <v>PETRÓLEO</v>
      </c>
      <c r="C376" s="12" t="str">
        <f>_xlfn.XLOOKUP(Tabla15[[#This Row],[GPS]],Hoja3!A:A,Hoja3!C:C)</f>
        <v>T5</v>
      </c>
      <c r="D376" s="12" t="s">
        <v>24</v>
      </c>
      <c r="E376" s="13">
        <v>46135</v>
      </c>
      <c r="F376" s="11">
        <v>0.18279999999999999</v>
      </c>
      <c r="G376" s="11">
        <v>3.16</v>
      </c>
      <c r="H376" s="11">
        <v>1</v>
      </c>
      <c r="I376" s="11">
        <v>16.999700000000001</v>
      </c>
      <c r="J376" s="11">
        <v>25</v>
      </c>
      <c r="K376" s="11">
        <v>0.02</v>
      </c>
      <c r="L376" s="15">
        <f t="shared" si="5"/>
        <v>0.52666666666666673</v>
      </c>
      <c r="M376" s="14">
        <f>IF(Tabla15[[#This Row],[COMBUSTIBLE]]="PETRÓLEO",L376*$Q$2,L376*$Q$4)</f>
        <v>632.52666666666676</v>
      </c>
      <c r="N376" s="12" t="str">
        <f>IF(OR(WEEKDAY(Tabla15[[#This Row],[Fecha]],2)=6,WEEKDAY(Tabla15[[#This Row],[Fecha]],2)=7),"Fin de semana","Semana")</f>
        <v>Semana</v>
      </c>
    </row>
    <row r="377" spans="1:14" ht="12.75" customHeight="1" x14ac:dyDescent="0.25">
      <c r="A377" s="11" t="str">
        <f>_xlfn.XLOOKUP(Tabla15[[#This Row],[GPS]],Hoja3!A:A,Hoja3!B:B)</f>
        <v>TRACTOR</v>
      </c>
      <c r="B377" s="11" t="str">
        <f>_xlfn.XLOOKUP(GPS!D377,Hoja3!A:A,Hoja3!D:D)</f>
        <v>PETRÓLEO</v>
      </c>
      <c r="C377" s="12" t="str">
        <f>_xlfn.XLOOKUP(Tabla15[[#This Row],[GPS]],Hoja3!A:A,Hoja3!C:C)</f>
        <v>T7</v>
      </c>
      <c r="D377" s="12" t="s">
        <v>26</v>
      </c>
      <c r="E377" s="13">
        <v>46137</v>
      </c>
      <c r="F377" s="11">
        <v>3.2500000000000001E-2</v>
      </c>
      <c r="G377" s="11">
        <v>0.04</v>
      </c>
      <c r="H377" s="11">
        <v>0</v>
      </c>
      <c r="I377" s="11">
        <v>3.0026999999999999</v>
      </c>
      <c r="J377" s="11">
        <v>11.6861</v>
      </c>
      <c r="K377" s="11">
        <v>0</v>
      </c>
      <c r="L377" s="15">
        <f t="shared" si="5"/>
        <v>6.6666666666666671E-3</v>
      </c>
      <c r="M377" s="14">
        <f>IF(Tabla15[[#This Row],[COMBUSTIBLE]]="PETRÓLEO",L377*$Q$2,L377*$Q$4)</f>
        <v>8.0066666666666677</v>
      </c>
      <c r="N377" s="12" t="str">
        <f>IF(OR(WEEKDAY(Tabla15[[#This Row],[Fecha]],2)=6,WEEKDAY(Tabla15[[#This Row],[Fecha]],2)=7),"Fin de semana","Semana")</f>
        <v>Fin de semana</v>
      </c>
    </row>
    <row r="378" spans="1:14" ht="12.75" customHeight="1" x14ac:dyDescent="0.25">
      <c r="A378" s="11" t="str">
        <f>_xlfn.XLOOKUP(Tabla15[[#This Row],[GPS]],Hoja3!A:A,Hoja3!B:B)</f>
        <v>TRACTOR</v>
      </c>
      <c r="B378" s="11" t="str">
        <f>_xlfn.XLOOKUP(GPS!D378,Hoja3!A:A,Hoja3!D:D)</f>
        <v>PETRÓLEO</v>
      </c>
      <c r="C378" s="12" t="str">
        <f>_xlfn.XLOOKUP(Tabla15[[#This Row],[GPS]],Hoja3!A:A,Hoja3!C:C)</f>
        <v>T9</v>
      </c>
      <c r="D378" s="12" t="s">
        <v>28</v>
      </c>
      <c r="E378" s="13">
        <v>46136</v>
      </c>
      <c r="F378" s="11">
        <v>1.2500000000000001E-2</v>
      </c>
      <c r="G378" s="11">
        <v>13.74</v>
      </c>
      <c r="H378" s="11">
        <v>1</v>
      </c>
      <c r="I378" s="11">
        <v>0</v>
      </c>
      <c r="J378" s="11">
        <v>0</v>
      </c>
      <c r="K378" s="11">
        <v>0</v>
      </c>
      <c r="L378" s="15">
        <f t="shared" si="5"/>
        <v>2.29</v>
      </c>
      <c r="M378" s="14">
        <f>IF(Tabla15[[#This Row],[COMBUSTIBLE]]="PETRÓLEO",L378*$Q$2,L378*$Q$4)</f>
        <v>2750.29</v>
      </c>
      <c r="N378" s="12" t="str">
        <f>IF(OR(WEEKDAY(Tabla15[[#This Row],[Fecha]],2)=6,WEEKDAY(Tabla15[[#This Row],[Fecha]],2)=7),"Fin de semana","Semana")</f>
        <v>Semana</v>
      </c>
    </row>
    <row r="379" spans="1:14" ht="12.75" customHeight="1" x14ac:dyDescent="0.25">
      <c r="A379" s="11" t="str">
        <f>_xlfn.XLOOKUP(Tabla15[[#This Row],[GPS]],Hoja3!A:A,Hoja3!B:B)</f>
        <v>CAMIONETA</v>
      </c>
      <c r="B379" s="11" t="str">
        <f>_xlfn.XLOOKUP(GPS!D379,Hoja3!A:A,Hoja3!D:D)</f>
        <v>PETRÓLEO</v>
      </c>
      <c r="C379" s="12" t="str">
        <f>_xlfn.XLOOKUP(Tabla15[[#This Row],[GPS]],Hoja3!A:A,Hoja3!C:C)</f>
        <v>CAMPO RULO</v>
      </c>
      <c r="D379" s="12" t="s">
        <v>135</v>
      </c>
      <c r="E379" s="13">
        <v>46138</v>
      </c>
      <c r="F379" s="11">
        <v>1.6999999999999999E-3</v>
      </c>
      <c r="G379" s="11">
        <v>0.01</v>
      </c>
      <c r="H379" s="11">
        <v>0</v>
      </c>
      <c r="I379" s="11">
        <v>5.8338000000000001</v>
      </c>
      <c r="J379" s="11">
        <v>5.8338000000000001</v>
      </c>
      <c r="K379" s="11">
        <v>0</v>
      </c>
      <c r="L379" s="15">
        <f t="shared" si="5"/>
        <v>1.1111111111111111E-3</v>
      </c>
      <c r="M379" s="14">
        <f>IF(Tabla15[[#This Row],[COMBUSTIBLE]]="PETRÓLEO",L379*$Q$2,L379*$Q$4)</f>
        <v>1.3344444444444445</v>
      </c>
      <c r="N379" s="12" t="str">
        <f>IF(OR(WEEKDAY(Tabla15[[#This Row],[Fecha]],2)=6,WEEKDAY(Tabla15[[#This Row],[Fecha]],2)=7),"Fin de semana","Semana")</f>
        <v>Fin de semana</v>
      </c>
    </row>
    <row r="380" spans="1:14" ht="12.75" customHeight="1" x14ac:dyDescent="0.25">
      <c r="A380" s="11" t="str">
        <f>_xlfn.XLOOKUP(Tabla15[[#This Row],[GPS]],Hoja3!A:A,Hoja3!B:B)</f>
        <v>CAMIONETA</v>
      </c>
      <c r="B380" s="11" t="str">
        <f>_xlfn.XLOOKUP(GPS!D380,Hoja3!A:A,Hoja3!D:D)</f>
        <v>PETRÓLEO</v>
      </c>
      <c r="C380" s="12" t="str">
        <f>_xlfn.XLOOKUP(Tabla15[[#This Row],[GPS]],Hoja3!A:A,Hoja3!C:C)</f>
        <v>RODRIGO SALINAS</v>
      </c>
      <c r="D380" s="12" t="s">
        <v>109</v>
      </c>
      <c r="E380" s="13">
        <v>46137</v>
      </c>
      <c r="F380" s="11">
        <v>0</v>
      </c>
      <c r="G380" s="11">
        <v>0</v>
      </c>
      <c r="H380" s="11">
        <v>0</v>
      </c>
      <c r="I380" s="11">
        <v>0</v>
      </c>
      <c r="J380" s="11">
        <v>0</v>
      </c>
      <c r="K380" s="11">
        <v>0</v>
      </c>
      <c r="L380" s="15">
        <f t="shared" si="5"/>
        <v>0</v>
      </c>
      <c r="M380" s="14">
        <f>IF(Tabla15[[#This Row],[COMBUSTIBLE]]="PETRÓLEO",L380*$Q$2,L380*$Q$4)</f>
        <v>0</v>
      </c>
      <c r="N380" s="12" t="str">
        <f>IF(OR(WEEKDAY(Tabla15[[#This Row],[Fecha]],2)=6,WEEKDAY(Tabla15[[#This Row],[Fecha]],2)=7),"Fin de semana","Semana")</f>
        <v>Fin de semana</v>
      </c>
    </row>
    <row r="381" spans="1:14" ht="12.75" customHeight="1" x14ac:dyDescent="0.25">
      <c r="A381" s="11" t="str">
        <f>_xlfn.XLOOKUP(Tabla15[[#This Row],[GPS]],Hoja3!A:A,Hoja3!B:B)</f>
        <v>TRACTOR</v>
      </c>
      <c r="B381" s="11" t="str">
        <f>_xlfn.XLOOKUP(GPS!D381,Hoja3!A:A,Hoja3!D:D)</f>
        <v>PETRÓLEO</v>
      </c>
      <c r="C381" s="12" t="str">
        <f>_xlfn.XLOOKUP(Tabla15[[#This Row],[GPS]],Hoja3!A:A,Hoja3!C:C)</f>
        <v>T7</v>
      </c>
      <c r="D381" s="12" t="s">
        <v>26</v>
      </c>
      <c r="E381" s="13">
        <v>46135</v>
      </c>
      <c r="F381" s="11">
        <v>0</v>
      </c>
      <c r="G381" s="11">
        <v>0.09</v>
      </c>
      <c r="H381" s="11">
        <v>0</v>
      </c>
      <c r="I381" s="11">
        <v>12.764900000000001</v>
      </c>
      <c r="J381" s="11">
        <v>24.7242</v>
      </c>
      <c r="K381" s="11">
        <v>0</v>
      </c>
      <c r="L381" s="15">
        <f t="shared" si="5"/>
        <v>1.4999999999999999E-2</v>
      </c>
      <c r="M381" s="14">
        <f>IF(Tabla15[[#This Row],[COMBUSTIBLE]]="PETRÓLEO",L381*$Q$2,L381*$Q$4)</f>
        <v>18.015000000000001</v>
      </c>
      <c r="N381" s="12" t="str">
        <f>IF(OR(WEEKDAY(Tabla15[[#This Row],[Fecha]],2)=6,WEEKDAY(Tabla15[[#This Row],[Fecha]],2)=7),"Fin de semana","Semana")</f>
        <v>Semana</v>
      </c>
    </row>
    <row r="382" spans="1:14" ht="12.75" customHeight="1" x14ac:dyDescent="0.25">
      <c r="A382" s="11" t="str">
        <f>_xlfn.XLOOKUP(Tabla15[[#This Row],[GPS]],Hoja3!A:A,Hoja3!B:B)</f>
        <v>CAMIONETA</v>
      </c>
      <c r="B382" s="11" t="str">
        <f>_xlfn.XLOOKUP(GPS!D382,Hoja3!A:A,Hoja3!D:D)</f>
        <v>BENCINA</v>
      </c>
      <c r="C382" s="12" t="str">
        <f>_xlfn.XLOOKUP(Tabla15[[#This Row],[GPS]],Hoja3!A:A,Hoja3!C:C)</f>
        <v>VG PIÑALEO</v>
      </c>
      <c r="D382" s="12" t="s">
        <v>114</v>
      </c>
      <c r="E382" s="13">
        <v>46137</v>
      </c>
      <c r="F382" s="11">
        <v>0</v>
      </c>
      <c r="G382" s="11">
        <v>46.36</v>
      </c>
      <c r="H382" s="11">
        <v>1</v>
      </c>
      <c r="I382" s="11">
        <v>33.812399999999997</v>
      </c>
      <c r="J382" s="11">
        <v>84.228999999999999</v>
      </c>
      <c r="K382" s="11">
        <v>0</v>
      </c>
      <c r="L382" s="15">
        <f t="shared" si="5"/>
        <v>4.2145454545454548</v>
      </c>
      <c r="M382" s="14">
        <f>IF(Tabla15[[#This Row],[COMBUSTIBLE]]="PETRÓLEO",L382*$Q$2,L382*$Q$4)</f>
        <v>6532.545454545455</v>
      </c>
      <c r="N382" s="12" t="str">
        <f>IF(OR(WEEKDAY(Tabla15[[#This Row],[Fecha]],2)=6,WEEKDAY(Tabla15[[#This Row],[Fecha]],2)=7),"Fin de semana","Semana")</f>
        <v>Fin de semana</v>
      </c>
    </row>
    <row r="383" spans="1:14" ht="12.75" customHeight="1" x14ac:dyDescent="0.25">
      <c r="A383" s="11" t="str">
        <f>_xlfn.XLOOKUP(Tabla15[[#This Row],[GPS]],Hoja3!A:A,Hoja3!B:B)</f>
        <v>CAMIONETA</v>
      </c>
      <c r="B383" s="11" t="str">
        <f>_xlfn.XLOOKUP(GPS!D383,Hoja3!A:A,Hoja3!D:D)</f>
        <v>BENCINA</v>
      </c>
      <c r="C383" s="12" t="str">
        <f>_xlfn.XLOOKUP(Tabla15[[#This Row],[GPS]],Hoja3!A:A,Hoja3!C:C)</f>
        <v>VG GERARDO</v>
      </c>
      <c r="D383" s="12" t="s">
        <v>118</v>
      </c>
      <c r="E383" s="13">
        <v>46137</v>
      </c>
      <c r="F383" s="11">
        <v>0</v>
      </c>
      <c r="G383" s="11">
        <v>15.37</v>
      </c>
      <c r="H383" s="11">
        <v>1</v>
      </c>
      <c r="I383" s="11">
        <v>24.550799999999999</v>
      </c>
      <c r="J383" s="11">
        <v>70.487099999999998</v>
      </c>
      <c r="K383" s="11">
        <v>0</v>
      </c>
      <c r="L383" s="15">
        <f t="shared" si="5"/>
        <v>1.3972727272727272</v>
      </c>
      <c r="M383" s="14">
        <f>IF(Tabla15[[#This Row],[COMBUSTIBLE]]="PETRÓLEO",L383*$Q$2,L383*$Q$4)</f>
        <v>2165.772727272727</v>
      </c>
      <c r="N383" s="12" t="str">
        <f>IF(OR(WEEKDAY(Tabla15[[#This Row],[Fecha]],2)=6,WEEKDAY(Tabla15[[#This Row],[Fecha]],2)=7),"Fin de semana","Semana")</f>
        <v>Fin de semana</v>
      </c>
    </row>
    <row r="384" spans="1:14" ht="12.75" customHeight="1" x14ac:dyDescent="0.25">
      <c r="A384" s="11" t="str">
        <f>_xlfn.XLOOKUP(Tabla15[[#This Row],[GPS]],Hoja3!A:A,Hoja3!B:B)</f>
        <v>CAMIONETA</v>
      </c>
      <c r="B384" s="11" t="str">
        <f>_xlfn.XLOOKUP(GPS!D384,Hoja3!A:A,Hoja3!D:D)</f>
        <v>BENCINA</v>
      </c>
      <c r="C384" s="12" t="str">
        <f>_xlfn.XLOOKUP(Tabla15[[#This Row],[GPS]],Hoja3!A:A,Hoja3!C:C)</f>
        <v>VG GERARDO</v>
      </c>
      <c r="D384" s="12" t="s">
        <v>118</v>
      </c>
      <c r="E384" s="13">
        <v>46135</v>
      </c>
      <c r="F384" s="11">
        <v>0</v>
      </c>
      <c r="G384" s="11">
        <v>56.13</v>
      </c>
      <c r="H384" s="11">
        <v>1</v>
      </c>
      <c r="I384" s="11">
        <v>25.623799999999999</v>
      </c>
      <c r="J384" s="11">
        <v>112.34229999999999</v>
      </c>
      <c r="K384" s="11">
        <v>0</v>
      </c>
      <c r="L384" s="15">
        <f t="shared" si="5"/>
        <v>5.1027272727272726</v>
      </c>
      <c r="M384" s="14">
        <f>IF(Tabla15[[#This Row],[COMBUSTIBLE]]="PETRÓLEO",L384*$Q$2,L384*$Q$4)</f>
        <v>7909.2272727272721</v>
      </c>
      <c r="N384" s="12" t="str">
        <f>IF(OR(WEEKDAY(Tabla15[[#This Row],[Fecha]],2)=6,WEEKDAY(Tabla15[[#This Row],[Fecha]],2)=7),"Fin de semana","Semana")</f>
        <v>Semana</v>
      </c>
    </row>
    <row r="385" spans="1:14" ht="12.75" customHeight="1" x14ac:dyDescent="0.25">
      <c r="A385" s="11" t="str">
        <f>_xlfn.XLOOKUP(Tabla15[[#This Row],[GPS]],Hoja3!A:A,Hoja3!B:B)</f>
        <v>CAMIONETA</v>
      </c>
      <c r="B385" s="11" t="str">
        <f>_xlfn.XLOOKUP(GPS!D385,Hoja3!A:A,Hoja3!D:D)</f>
        <v>BENCINA</v>
      </c>
      <c r="C385" s="12" t="str">
        <f>_xlfn.XLOOKUP(Tabla15[[#This Row],[GPS]],Hoja3!A:A,Hoja3!C:C)</f>
        <v>VG PIÑALEO</v>
      </c>
      <c r="D385" s="12" t="s">
        <v>114</v>
      </c>
      <c r="E385" s="13">
        <v>46136</v>
      </c>
      <c r="F385" s="11">
        <v>0</v>
      </c>
      <c r="G385" s="11">
        <v>36.909999999999997</v>
      </c>
      <c r="H385" s="11">
        <v>1</v>
      </c>
      <c r="I385" s="11">
        <v>31.931699999999999</v>
      </c>
      <c r="J385" s="11">
        <v>88.414500000000004</v>
      </c>
      <c r="K385" s="11">
        <v>0</v>
      </c>
      <c r="L385" s="15">
        <f t="shared" si="5"/>
        <v>3.355454545454545</v>
      </c>
      <c r="M385" s="14">
        <f>IF(Tabla15[[#This Row],[COMBUSTIBLE]]="PETRÓLEO",L385*$Q$2,L385*$Q$4)</f>
        <v>5200.954545454545</v>
      </c>
      <c r="N385" s="12" t="str">
        <f>IF(OR(WEEKDAY(Tabla15[[#This Row],[Fecha]],2)=6,WEEKDAY(Tabla15[[#This Row],[Fecha]],2)=7),"Fin de semana","Semana")</f>
        <v>Semana</v>
      </c>
    </row>
    <row r="386" spans="1:14" ht="12.75" customHeight="1" x14ac:dyDescent="0.25">
      <c r="A386" s="11" t="str">
        <f>_xlfn.XLOOKUP(Tabla15[[#This Row],[GPS]],Hoja3!A:A,Hoja3!B:B)</f>
        <v>CAMIONETA</v>
      </c>
      <c r="B386" s="11" t="str">
        <f>_xlfn.XLOOKUP(GPS!D386,Hoja3!A:A,Hoja3!D:D)</f>
        <v>BENCINA</v>
      </c>
      <c r="C386" s="12" t="str">
        <f>_xlfn.XLOOKUP(Tabla15[[#This Row],[GPS]],Hoja3!A:A,Hoja3!C:C)</f>
        <v>VG GERARDO</v>
      </c>
      <c r="D386" s="12" t="s">
        <v>118</v>
      </c>
      <c r="E386" s="13">
        <v>46136</v>
      </c>
      <c r="F386" s="11">
        <v>0</v>
      </c>
      <c r="G386" s="11">
        <v>78.069999999999993</v>
      </c>
      <c r="H386" s="11">
        <v>1</v>
      </c>
      <c r="I386" s="11">
        <v>30.024999999999999</v>
      </c>
      <c r="J386" s="11">
        <v>93.118600000000001</v>
      </c>
      <c r="K386" s="11">
        <v>0</v>
      </c>
      <c r="L386" s="15">
        <f t="shared" ref="L386:L449" si="6">IF(AND(A386="CAMIONETA",B386="BENCINA"),G386/$Q$5,IF(A386="TRACTOR",G386/$Q$3,G386/$Q$1))</f>
        <v>7.0972727272727267</v>
      </c>
      <c r="M386" s="14">
        <f>IF(Tabla15[[#This Row],[COMBUSTIBLE]]="PETRÓLEO",L386*$Q$2,L386*$Q$4)</f>
        <v>11000.772727272726</v>
      </c>
      <c r="N386" s="12" t="str">
        <f>IF(OR(WEEKDAY(Tabla15[[#This Row],[Fecha]],2)=6,WEEKDAY(Tabla15[[#This Row],[Fecha]],2)=7),"Fin de semana","Semana")</f>
        <v>Semana</v>
      </c>
    </row>
    <row r="387" spans="1:14" ht="12.75" customHeight="1" x14ac:dyDescent="0.25">
      <c r="A387" s="11" t="str">
        <f>_xlfn.XLOOKUP(Tabla15[[#This Row],[GPS]],Hoja3!A:A,Hoja3!B:B)</f>
        <v>CAMIONETA</v>
      </c>
      <c r="B387" s="11" t="str">
        <f>_xlfn.XLOOKUP(GPS!D387,Hoja3!A:A,Hoja3!D:D)</f>
        <v>BENCINA</v>
      </c>
      <c r="C387" s="12" t="str">
        <f>_xlfn.XLOOKUP(Tabla15[[#This Row],[GPS]],Hoja3!A:A,Hoja3!C:C)</f>
        <v>VG CERRILLOS</v>
      </c>
      <c r="D387" s="12" t="s">
        <v>137</v>
      </c>
      <c r="E387" s="13">
        <v>46135</v>
      </c>
      <c r="F387" s="11">
        <v>0</v>
      </c>
      <c r="G387" s="11">
        <v>42.8</v>
      </c>
      <c r="H387" s="11">
        <v>1</v>
      </c>
      <c r="I387" s="11">
        <v>18.679400000000001</v>
      </c>
      <c r="J387" s="11">
        <v>72</v>
      </c>
      <c r="K387" s="11">
        <v>0</v>
      </c>
      <c r="L387" s="15">
        <f t="shared" si="6"/>
        <v>3.8909090909090907</v>
      </c>
      <c r="M387" s="14">
        <f>IF(Tabla15[[#This Row],[COMBUSTIBLE]]="PETRÓLEO",L387*$Q$2,L387*$Q$4)</f>
        <v>6030.9090909090901</v>
      </c>
      <c r="N387" s="12" t="str">
        <f>IF(OR(WEEKDAY(Tabla15[[#This Row],[Fecha]],2)=6,WEEKDAY(Tabla15[[#This Row],[Fecha]],2)=7),"Fin de semana","Semana")</f>
        <v>Semana</v>
      </c>
    </row>
    <row r="388" spans="1:14" ht="12.75" customHeight="1" x14ac:dyDescent="0.25">
      <c r="A388" s="11" t="str">
        <f>_xlfn.XLOOKUP(Tabla15[[#This Row],[GPS]],Hoja3!A:A,Hoja3!B:B)</f>
        <v>CAMIONETA</v>
      </c>
      <c r="B388" s="11" t="str">
        <f>_xlfn.XLOOKUP(GPS!D388,Hoja3!A:A,Hoja3!D:D)</f>
        <v>PETRÓLEO</v>
      </c>
      <c r="C388" s="12" t="str">
        <f>_xlfn.XLOOKUP(Tabla15[[#This Row],[GPS]],Hoja3!A:A,Hoja3!C:C)</f>
        <v>SERGIO ROJAS</v>
      </c>
      <c r="D388" s="12" t="s">
        <v>128</v>
      </c>
      <c r="E388" s="13">
        <v>46136</v>
      </c>
      <c r="F388" s="11">
        <v>0</v>
      </c>
      <c r="G388" s="11">
        <v>63.79</v>
      </c>
      <c r="H388" s="11">
        <v>1</v>
      </c>
      <c r="I388" s="11">
        <v>27.8078</v>
      </c>
      <c r="J388" s="11">
        <v>116.0278</v>
      </c>
      <c r="K388" s="11">
        <v>0</v>
      </c>
      <c r="L388" s="15">
        <f t="shared" si="6"/>
        <v>7.0877777777777773</v>
      </c>
      <c r="M388" s="14">
        <f>IF(Tabla15[[#This Row],[COMBUSTIBLE]]="PETRÓLEO",L388*$Q$2,L388*$Q$4)</f>
        <v>8512.4211111111108</v>
      </c>
      <c r="N388" s="12" t="str">
        <f>IF(OR(WEEKDAY(Tabla15[[#This Row],[Fecha]],2)=6,WEEKDAY(Tabla15[[#This Row],[Fecha]],2)=7),"Fin de semana","Semana")</f>
        <v>Semana</v>
      </c>
    </row>
    <row r="389" spans="1:14" ht="12.75" customHeight="1" x14ac:dyDescent="0.25">
      <c r="A389" s="11" t="str">
        <f>_xlfn.XLOOKUP(Tabla15[[#This Row],[GPS]],Hoja3!A:A,Hoja3!B:B)</f>
        <v>CAMIONETA</v>
      </c>
      <c r="B389" s="11" t="str">
        <f>_xlfn.XLOOKUP(GPS!D389,Hoja3!A:A,Hoja3!D:D)</f>
        <v>PETRÓLEO</v>
      </c>
      <c r="C389" s="12" t="str">
        <f>_xlfn.XLOOKUP(Tabla15[[#This Row],[GPS]],Hoja3!A:A,Hoja3!C:C)</f>
        <v>SERGIO ROJAS</v>
      </c>
      <c r="D389" s="12" t="s">
        <v>128</v>
      </c>
      <c r="E389" s="13">
        <v>46135</v>
      </c>
      <c r="F389" s="11">
        <v>0</v>
      </c>
      <c r="G389" s="11">
        <v>64.81</v>
      </c>
      <c r="H389" s="11">
        <v>1</v>
      </c>
      <c r="I389" s="11">
        <v>24.811</v>
      </c>
      <c r="J389" s="11">
        <v>90</v>
      </c>
      <c r="K389" s="11">
        <v>0</v>
      </c>
      <c r="L389" s="15">
        <f t="shared" si="6"/>
        <v>7.2011111111111115</v>
      </c>
      <c r="M389" s="14">
        <f>IF(Tabla15[[#This Row],[COMBUSTIBLE]]="PETRÓLEO",L389*$Q$2,L389*$Q$4)</f>
        <v>8648.5344444444454</v>
      </c>
      <c r="N389" s="12" t="str">
        <f>IF(OR(WEEKDAY(Tabla15[[#This Row],[Fecha]],2)=6,WEEKDAY(Tabla15[[#This Row],[Fecha]],2)=7),"Fin de semana","Semana")</f>
        <v>Semana</v>
      </c>
    </row>
    <row r="390" spans="1:14" ht="12.75" customHeight="1" x14ac:dyDescent="0.25">
      <c r="A390" s="11" t="str">
        <f>_xlfn.XLOOKUP(Tabla15[[#This Row],[GPS]],Hoja3!A:A,Hoja3!B:B)</f>
        <v>CAMIONETA</v>
      </c>
      <c r="B390" s="11" t="str">
        <f>_xlfn.XLOOKUP(GPS!D390,Hoja3!A:A,Hoja3!D:D)</f>
        <v>BENCINA</v>
      </c>
      <c r="C390" s="12" t="str">
        <f>_xlfn.XLOOKUP(Tabla15[[#This Row],[GPS]],Hoja3!A:A,Hoja3!C:C)</f>
        <v>VG PIÑALEO</v>
      </c>
      <c r="D390" s="12" t="s">
        <v>114</v>
      </c>
      <c r="E390" s="13">
        <v>46135</v>
      </c>
      <c r="F390" s="11">
        <v>0</v>
      </c>
      <c r="G390" s="11">
        <v>38.22</v>
      </c>
      <c r="H390" s="11">
        <v>1</v>
      </c>
      <c r="I390" s="11">
        <v>33.476300000000002</v>
      </c>
      <c r="J390" s="11">
        <v>103.45269999999999</v>
      </c>
      <c r="K390" s="11">
        <v>0</v>
      </c>
      <c r="L390" s="15">
        <f t="shared" si="6"/>
        <v>3.4745454545454546</v>
      </c>
      <c r="M390" s="14">
        <f>IF(Tabla15[[#This Row],[COMBUSTIBLE]]="PETRÓLEO",L390*$Q$2,L390*$Q$4)</f>
        <v>5385.545454545455</v>
      </c>
      <c r="N390" s="12" t="str">
        <f>IF(OR(WEEKDAY(Tabla15[[#This Row],[Fecha]],2)=6,WEEKDAY(Tabla15[[#This Row],[Fecha]],2)=7),"Fin de semana","Semana")</f>
        <v>Semana</v>
      </c>
    </row>
    <row r="391" spans="1:14" ht="12.75" customHeight="1" x14ac:dyDescent="0.25">
      <c r="A391" s="11" t="str">
        <f>_xlfn.XLOOKUP(Tabla15[[#This Row],[GPS]],Hoja3!A:A,Hoja3!B:B)</f>
        <v>CAMIONETA</v>
      </c>
      <c r="B391" s="11" t="str">
        <f>_xlfn.XLOOKUP(GPS!D391,Hoja3!A:A,Hoja3!D:D)</f>
        <v>BENCINA</v>
      </c>
      <c r="C391" s="12" t="str">
        <f>_xlfn.XLOOKUP(Tabla15[[#This Row],[GPS]],Hoja3!A:A,Hoja3!C:C)</f>
        <v>VG PIÑALEO</v>
      </c>
      <c r="D391" s="12" t="s">
        <v>114</v>
      </c>
      <c r="E391" s="13">
        <v>46138</v>
      </c>
      <c r="F391" s="11">
        <v>0</v>
      </c>
      <c r="G391" s="11">
        <v>22.22</v>
      </c>
      <c r="H391" s="11">
        <v>1</v>
      </c>
      <c r="I391" s="11">
        <v>33.723100000000002</v>
      </c>
      <c r="J391" s="11">
        <v>82.006600000000006</v>
      </c>
      <c r="K391" s="11">
        <v>0</v>
      </c>
      <c r="L391" s="15">
        <f t="shared" si="6"/>
        <v>2.02</v>
      </c>
      <c r="M391" s="14">
        <f>IF(Tabla15[[#This Row],[COMBUSTIBLE]]="PETRÓLEO",L391*$Q$2,L391*$Q$4)</f>
        <v>3131</v>
      </c>
      <c r="N391" s="12" t="str">
        <f>IF(OR(WEEKDAY(Tabla15[[#This Row],[Fecha]],2)=6,WEEKDAY(Tabla15[[#This Row],[Fecha]],2)=7),"Fin de semana","Semana")</f>
        <v>Fin de semana</v>
      </c>
    </row>
    <row r="392" spans="1:14" ht="12.75" customHeight="1" x14ac:dyDescent="0.25">
      <c r="A392" s="11" t="str">
        <f>_xlfn.XLOOKUP(Tabla15[[#This Row],[GPS]],Hoja3!A:A,Hoja3!B:B)</f>
        <v>CAMIONETA</v>
      </c>
      <c r="B392" s="11" t="str">
        <f>_xlfn.XLOOKUP(GPS!D392,Hoja3!A:A,Hoja3!D:D)</f>
        <v>BENCINA</v>
      </c>
      <c r="C392" s="12" t="str">
        <f>_xlfn.XLOOKUP(Tabla15[[#This Row],[GPS]],Hoja3!A:A,Hoja3!C:C)</f>
        <v>VG CERRILLOS</v>
      </c>
      <c r="D392" s="12" t="s">
        <v>137</v>
      </c>
      <c r="E392" s="13">
        <v>46136</v>
      </c>
      <c r="F392" s="11">
        <v>0</v>
      </c>
      <c r="G392" s="11">
        <v>35.869999999999997</v>
      </c>
      <c r="H392" s="11">
        <v>1</v>
      </c>
      <c r="I392" s="11">
        <v>19.311299999999999</v>
      </c>
      <c r="J392" s="11">
        <v>73.000100000000003</v>
      </c>
      <c r="K392" s="11">
        <v>0</v>
      </c>
      <c r="L392" s="15">
        <f t="shared" si="6"/>
        <v>3.2609090909090908</v>
      </c>
      <c r="M392" s="14">
        <f>IF(Tabla15[[#This Row],[COMBUSTIBLE]]="PETRÓLEO",L392*$Q$2,L392*$Q$4)</f>
        <v>5054.409090909091</v>
      </c>
      <c r="N392" s="12" t="str">
        <f>IF(OR(WEEKDAY(Tabla15[[#This Row],[Fecha]],2)=6,WEEKDAY(Tabla15[[#This Row],[Fecha]],2)=7),"Fin de semana","Semana")</f>
        <v>Semana</v>
      </c>
    </row>
    <row r="393" spans="1:14" ht="12.75" customHeight="1" x14ac:dyDescent="0.25">
      <c r="A393" s="11" t="str">
        <f>_xlfn.XLOOKUP(Tabla15[[#This Row],[GPS]],Hoja3!A:A,Hoja3!B:B)</f>
        <v>TRACTOR</v>
      </c>
      <c r="B393" s="11" t="str">
        <f>_xlfn.XLOOKUP(GPS!D393,Hoja3!A:A,Hoja3!D:D)</f>
        <v>PETRÓLEO</v>
      </c>
      <c r="C393" s="12" t="str">
        <f>_xlfn.XLOOKUP(Tabla15[[#This Row],[GPS]],Hoja3!A:A,Hoja3!C:C)</f>
        <v>T7</v>
      </c>
      <c r="D393" s="12" t="s">
        <v>26</v>
      </c>
      <c r="E393" s="13">
        <v>46139</v>
      </c>
      <c r="F393" s="11">
        <v>7.6955999999999998</v>
      </c>
      <c r="G393" s="11">
        <v>13.31</v>
      </c>
      <c r="H393" s="11">
        <v>1</v>
      </c>
      <c r="I393" s="11">
        <v>4.2717000000000001</v>
      </c>
      <c r="J393" s="11">
        <v>14.001099999999999</v>
      </c>
      <c r="K393" s="11">
        <v>0.96</v>
      </c>
      <c r="L393" s="15">
        <f t="shared" si="6"/>
        <v>2.2183333333333333</v>
      </c>
      <c r="M393" s="14">
        <f>IF(Tabla15[[#This Row],[COMBUSTIBLE]]="PETRÓLEO",L393*$Q$2,L393*$Q$4)</f>
        <v>2664.2183333333332</v>
      </c>
      <c r="N393" s="12" t="str">
        <f>IF(OR(WEEKDAY(Tabla15[[#This Row],[Fecha]],2)=6,WEEKDAY(Tabla15[[#This Row],[Fecha]],2)=7),"Fin de semana","Semana")</f>
        <v>Semana</v>
      </c>
    </row>
    <row r="394" spans="1:14" ht="12.75" customHeight="1" x14ac:dyDescent="0.25">
      <c r="A394" s="11" t="str">
        <f>_xlfn.XLOOKUP(Tabla15[[#This Row],[GPS]],Hoja3!A:A,Hoja3!B:B)</f>
        <v>TRACTOR</v>
      </c>
      <c r="B394" s="11" t="str">
        <f>_xlfn.XLOOKUP(GPS!D394,Hoja3!A:A,Hoja3!D:D)</f>
        <v>PETRÓLEO</v>
      </c>
      <c r="C394" s="12" t="str">
        <f>_xlfn.XLOOKUP(Tabla15[[#This Row],[GPS]],Hoja3!A:A,Hoja3!C:C)</f>
        <v>T13</v>
      </c>
      <c r="D394" s="12" t="s">
        <v>19</v>
      </c>
      <c r="E394" s="13">
        <v>46139</v>
      </c>
      <c r="F394" s="11">
        <v>6.6528</v>
      </c>
      <c r="G394" s="11">
        <v>24.61</v>
      </c>
      <c r="H394" s="11">
        <v>1</v>
      </c>
      <c r="I394" s="11">
        <v>5.9588000000000001</v>
      </c>
      <c r="J394" s="11">
        <v>23.890799999999999</v>
      </c>
      <c r="K394" s="11">
        <v>0.83</v>
      </c>
      <c r="L394" s="15">
        <f t="shared" si="6"/>
        <v>4.1016666666666666</v>
      </c>
      <c r="M394" s="14">
        <f>IF(Tabla15[[#This Row],[COMBUSTIBLE]]="PETRÓLEO",L394*$Q$2,L394*$Q$4)</f>
        <v>4926.1016666666665</v>
      </c>
      <c r="N394" s="12" t="str">
        <f>IF(OR(WEEKDAY(Tabla15[[#This Row],[Fecha]],2)=6,WEEKDAY(Tabla15[[#This Row],[Fecha]],2)=7),"Fin de semana","Semana")</f>
        <v>Semana</v>
      </c>
    </row>
    <row r="395" spans="1:14" ht="12.75" customHeight="1" x14ac:dyDescent="0.25">
      <c r="A395" s="11" t="str">
        <f>_xlfn.XLOOKUP(Tabla15[[#This Row],[GPS]],Hoja3!A:A,Hoja3!B:B)</f>
        <v>TRACTOR</v>
      </c>
      <c r="B395" s="11" t="str">
        <f>_xlfn.XLOOKUP(GPS!D395,Hoja3!A:A,Hoja3!D:D)</f>
        <v>PETRÓLEO</v>
      </c>
      <c r="C395" s="12" t="str">
        <f>_xlfn.XLOOKUP(Tabla15[[#This Row],[GPS]],Hoja3!A:A,Hoja3!C:C)</f>
        <v>T10</v>
      </c>
      <c r="D395" s="12" t="s">
        <v>14</v>
      </c>
      <c r="E395" s="13">
        <v>46139</v>
      </c>
      <c r="F395" s="11">
        <v>6.5053000000000001</v>
      </c>
      <c r="G395" s="11">
        <v>21.65</v>
      </c>
      <c r="H395" s="11">
        <v>1</v>
      </c>
      <c r="I395" s="11">
        <v>7.3952999999999998</v>
      </c>
      <c r="J395" s="11">
        <v>29.0001</v>
      </c>
      <c r="K395" s="11">
        <v>0.81</v>
      </c>
      <c r="L395" s="15">
        <f t="shared" si="6"/>
        <v>3.6083333333333329</v>
      </c>
      <c r="M395" s="14">
        <f>IF(Tabla15[[#This Row],[COMBUSTIBLE]]="PETRÓLEO",L395*$Q$2,L395*$Q$4)</f>
        <v>4333.6083333333327</v>
      </c>
      <c r="N395" s="12" t="str">
        <f>IF(OR(WEEKDAY(Tabla15[[#This Row],[Fecha]],2)=6,WEEKDAY(Tabla15[[#This Row],[Fecha]],2)=7),"Fin de semana","Semana")</f>
        <v>Semana</v>
      </c>
    </row>
    <row r="396" spans="1:14" ht="12.75" customHeight="1" x14ac:dyDescent="0.25">
      <c r="A396" s="11" t="str">
        <f>_xlfn.XLOOKUP(Tabla15[[#This Row],[GPS]],Hoja3!A:A,Hoja3!B:B)</f>
        <v>CAMIONETA</v>
      </c>
      <c r="B396" s="11" t="str">
        <f>_xlfn.XLOOKUP(GPS!D396,Hoja3!A:A,Hoja3!D:D)</f>
        <v>PETRÓLEO</v>
      </c>
      <c r="C396" s="12" t="str">
        <f>_xlfn.XLOOKUP(Tabla15[[#This Row],[GPS]],Hoja3!A:A,Hoja3!C:C)</f>
        <v>CAMPO PAINE</v>
      </c>
      <c r="D396" s="12" t="s">
        <v>131</v>
      </c>
      <c r="E396" s="13">
        <v>46139</v>
      </c>
      <c r="F396" s="11">
        <v>4.8661000000000003</v>
      </c>
      <c r="G396" s="11">
        <v>20.29</v>
      </c>
      <c r="H396" s="11">
        <v>1</v>
      </c>
      <c r="I396" s="11">
        <v>13.5375</v>
      </c>
      <c r="J396" s="11">
        <v>164.62430000000001</v>
      </c>
      <c r="K396" s="11">
        <v>0.61</v>
      </c>
      <c r="L396" s="15">
        <f t="shared" si="6"/>
        <v>2.2544444444444443</v>
      </c>
      <c r="M396" s="14">
        <f>IF(Tabla15[[#This Row],[COMBUSTIBLE]]="PETRÓLEO",L396*$Q$2,L396*$Q$4)</f>
        <v>2707.5877777777773</v>
      </c>
      <c r="N396" s="12" t="str">
        <f>IF(OR(WEEKDAY(Tabla15[[#This Row],[Fecha]],2)=6,WEEKDAY(Tabla15[[#This Row],[Fecha]],2)=7),"Fin de semana","Semana")</f>
        <v>Semana</v>
      </c>
    </row>
    <row r="397" spans="1:14" ht="12.75" customHeight="1" x14ac:dyDescent="0.25">
      <c r="A397" s="11" t="str">
        <f>_xlfn.XLOOKUP(Tabla15[[#This Row],[GPS]],Hoja3!A:A,Hoja3!B:B)</f>
        <v>TRACTOR</v>
      </c>
      <c r="B397" s="11" t="str">
        <f>_xlfn.XLOOKUP(GPS!D397,Hoja3!A:A,Hoja3!D:D)</f>
        <v>PETRÓLEO</v>
      </c>
      <c r="C397" s="12" t="str">
        <f>_xlfn.XLOOKUP(Tabla15[[#This Row],[GPS]],Hoja3!A:A,Hoja3!C:C)</f>
        <v>T9</v>
      </c>
      <c r="D397" s="12" t="s">
        <v>28</v>
      </c>
      <c r="E397" s="13">
        <v>46139</v>
      </c>
      <c r="F397" s="11">
        <v>4.2916999999999996</v>
      </c>
      <c r="G397" s="11">
        <v>13.1</v>
      </c>
      <c r="H397" s="11">
        <v>1</v>
      </c>
      <c r="I397" s="11">
        <v>5.5518999999999998</v>
      </c>
      <c r="J397" s="11">
        <v>26.9466</v>
      </c>
      <c r="K397" s="11">
        <v>0.54</v>
      </c>
      <c r="L397" s="15">
        <f t="shared" si="6"/>
        <v>2.1833333333333331</v>
      </c>
      <c r="M397" s="14">
        <f>IF(Tabla15[[#This Row],[COMBUSTIBLE]]="PETRÓLEO",L397*$Q$2,L397*$Q$4)</f>
        <v>2622.1833333333329</v>
      </c>
      <c r="N397" s="12" t="str">
        <f>IF(OR(WEEKDAY(Tabla15[[#This Row],[Fecha]],2)=6,WEEKDAY(Tabla15[[#This Row],[Fecha]],2)=7),"Fin de semana","Semana")</f>
        <v>Semana</v>
      </c>
    </row>
    <row r="398" spans="1:14" ht="12.75" customHeight="1" x14ac:dyDescent="0.25">
      <c r="A398" s="11" t="str">
        <f>_xlfn.XLOOKUP(Tabla15[[#This Row],[GPS]],Hoja3!A:A,Hoja3!B:B)</f>
        <v>CAMIONETA</v>
      </c>
      <c r="B398" s="11" t="str">
        <f>_xlfn.XLOOKUP(GPS!D398,Hoja3!A:A,Hoja3!D:D)</f>
        <v>PETRÓLEO</v>
      </c>
      <c r="C398" s="12" t="str">
        <f>_xlfn.XLOOKUP(Tabla15[[#This Row],[GPS]],Hoja3!A:A,Hoja3!C:C)</f>
        <v>RODRIGO SALINAS</v>
      </c>
      <c r="D398" s="12" t="s">
        <v>109</v>
      </c>
      <c r="E398" s="13">
        <v>46139</v>
      </c>
      <c r="F398" s="11">
        <v>4.1881000000000004</v>
      </c>
      <c r="G398" s="11">
        <v>154.51</v>
      </c>
      <c r="H398" s="11">
        <v>1</v>
      </c>
      <c r="I398" s="11">
        <v>40.462600000000002</v>
      </c>
      <c r="J398" s="11">
        <v>179.77359999999999</v>
      </c>
      <c r="K398" s="11">
        <v>0.52</v>
      </c>
      <c r="L398" s="15">
        <f t="shared" si="6"/>
        <v>17.167777777777776</v>
      </c>
      <c r="M398" s="14">
        <f>IF(Tabla15[[#This Row],[COMBUSTIBLE]]="PETRÓLEO",L398*$Q$2,L398*$Q$4)</f>
        <v>20618.501111111109</v>
      </c>
      <c r="N398" s="12" t="str">
        <f>IF(OR(WEEKDAY(Tabla15[[#This Row],[Fecha]],2)=6,WEEKDAY(Tabla15[[#This Row],[Fecha]],2)=7),"Fin de semana","Semana")</f>
        <v>Semana</v>
      </c>
    </row>
    <row r="399" spans="1:14" ht="12.75" customHeight="1" x14ac:dyDescent="0.25">
      <c r="A399" s="11" t="str">
        <f>_xlfn.XLOOKUP(Tabla15[[#This Row],[GPS]],Hoja3!A:A,Hoja3!B:B)</f>
        <v>TRACTOR</v>
      </c>
      <c r="B399" s="11" t="str">
        <f>_xlfn.XLOOKUP(GPS!D399,Hoja3!A:A,Hoja3!D:D)</f>
        <v>PETRÓLEO</v>
      </c>
      <c r="C399" s="12" t="str">
        <f>_xlfn.XLOOKUP(Tabla15[[#This Row],[GPS]],Hoja3!A:A,Hoja3!C:C)</f>
        <v>T4</v>
      </c>
      <c r="D399" s="12" t="s">
        <v>23</v>
      </c>
      <c r="E399" s="13">
        <v>46139</v>
      </c>
      <c r="F399" s="11">
        <v>3.9157999999999999</v>
      </c>
      <c r="G399" s="11">
        <v>39.090000000000003</v>
      </c>
      <c r="H399" s="11">
        <v>1</v>
      </c>
      <c r="I399" s="11">
        <v>12.459899999999999</v>
      </c>
      <c r="J399" s="11">
        <v>39.984699999999997</v>
      </c>
      <c r="K399" s="11">
        <v>0.49</v>
      </c>
      <c r="L399" s="15">
        <f t="shared" si="6"/>
        <v>6.5150000000000006</v>
      </c>
      <c r="M399" s="14">
        <f>IF(Tabla15[[#This Row],[COMBUSTIBLE]]="PETRÓLEO",L399*$Q$2,L399*$Q$4)</f>
        <v>7824.5150000000003</v>
      </c>
      <c r="N399" s="12" t="str">
        <f>IF(OR(WEEKDAY(Tabla15[[#This Row],[Fecha]],2)=6,WEEKDAY(Tabla15[[#This Row],[Fecha]],2)=7),"Fin de semana","Semana")</f>
        <v>Semana</v>
      </c>
    </row>
    <row r="400" spans="1:14" ht="12.75" customHeight="1" x14ac:dyDescent="0.25">
      <c r="A400" s="11" t="str">
        <f>_xlfn.XLOOKUP(Tabla15[[#This Row],[GPS]],Hoja3!A:A,Hoja3!B:B)</f>
        <v>TRACTOR</v>
      </c>
      <c r="B400" s="11" t="str">
        <f>_xlfn.XLOOKUP(GPS!D400,Hoja3!A:A,Hoja3!D:D)</f>
        <v>PETRÓLEO</v>
      </c>
      <c r="C400" s="12" t="str">
        <f>_xlfn.XLOOKUP(Tabla15[[#This Row],[GPS]],Hoja3!A:A,Hoja3!C:C)</f>
        <v>T8</v>
      </c>
      <c r="D400" s="12" t="s">
        <v>27</v>
      </c>
      <c r="E400" s="13">
        <v>46139</v>
      </c>
      <c r="F400" s="11">
        <v>3.5181</v>
      </c>
      <c r="G400" s="11">
        <v>12.6</v>
      </c>
      <c r="H400" s="11">
        <v>1</v>
      </c>
      <c r="I400" s="11">
        <v>6.7731000000000003</v>
      </c>
      <c r="J400" s="11">
        <v>66.764600000000002</v>
      </c>
      <c r="K400" s="11">
        <v>0.44</v>
      </c>
      <c r="L400" s="15">
        <f t="shared" si="6"/>
        <v>2.1</v>
      </c>
      <c r="M400" s="14">
        <f>IF(Tabla15[[#This Row],[COMBUSTIBLE]]="PETRÓLEO",L400*$Q$2,L400*$Q$4)</f>
        <v>2522.1</v>
      </c>
      <c r="N400" s="12" t="str">
        <f>IF(OR(WEEKDAY(Tabla15[[#This Row],[Fecha]],2)=6,WEEKDAY(Tabla15[[#This Row],[Fecha]],2)=7),"Fin de semana","Semana")</f>
        <v>Semana</v>
      </c>
    </row>
    <row r="401" spans="1:14" ht="12.75" customHeight="1" x14ac:dyDescent="0.25">
      <c r="A401" s="11" t="str">
        <f>_xlfn.XLOOKUP(Tabla15[[#This Row],[GPS]],Hoja3!A:A,Hoja3!B:B)</f>
        <v>CAMIONETA</v>
      </c>
      <c r="B401" s="11" t="str">
        <f>_xlfn.XLOOKUP(GPS!D401,Hoja3!A:A,Hoja3!D:D)</f>
        <v>PETRÓLEO</v>
      </c>
      <c r="C401" s="12" t="str">
        <f>_xlfn.XLOOKUP(Tabla15[[#This Row],[GPS]],Hoja3!A:A,Hoja3!C:C)</f>
        <v>CAMPO CERRILLOS</v>
      </c>
      <c r="D401" s="12" t="s">
        <v>121</v>
      </c>
      <c r="E401" s="13">
        <v>46139</v>
      </c>
      <c r="F401" s="11">
        <v>3.41</v>
      </c>
      <c r="G401" s="11">
        <v>51.26</v>
      </c>
      <c r="H401" s="11">
        <v>1</v>
      </c>
      <c r="I401" s="11">
        <v>19.6402</v>
      </c>
      <c r="J401" s="11">
        <v>82.000100000000003</v>
      </c>
      <c r="K401" s="11">
        <v>0.43</v>
      </c>
      <c r="L401" s="15">
        <f t="shared" si="6"/>
        <v>5.695555555555555</v>
      </c>
      <c r="M401" s="14">
        <f>IF(Tabla15[[#This Row],[COMBUSTIBLE]]="PETRÓLEO",L401*$Q$2,L401*$Q$4)</f>
        <v>6840.362222222222</v>
      </c>
      <c r="N401" s="12" t="str">
        <f>IF(OR(WEEKDAY(Tabla15[[#This Row],[Fecha]],2)=6,WEEKDAY(Tabla15[[#This Row],[Fecha]],2)=7),"Fin de semana","Semana")</f>
        <v>Semana</v>
      </c>
    </row>
    <row r="402" spans="1:14" ht="12.75" customHeight="1" x14ac:dyDescent="0.25">
      <c r="A402" s="11" t="str">
        <f>_xlfn.XLOOKUP(Tabla15[[#This Row],[GPS]],Hoja3!A:A,Hoja3!B:B)</f>
        <v>CAMIONETA</v>
      </c>
      <c r="B402" s="11" t="str">
        <f>_xlfn.XLOOKUP(GPS!D402,Hoja3!A:A,Hoja3!D:D)</f>
        <v>PETRÓLEO</v>
      </c>
      <c r="C402" s="12" t="str">
        <f>_xlfn.XLOOKUP(Tabla15[[#This Row],[GPS]],Hoja3!A:A,Hoja3!C:C)</f>
        <v>CAMPO RULO</v>
      </c>
      <c r="D402" s="12" t="s">
        <v>135</v>
      </c>
      <c r="E402" s="13">
        <v>46139</v>
      </c>
      <c r="F402" s="11">
        <v>3.2006000000000001</v>
      </c>
      <c r="G402" s="11">
        <v>29.68</v>
      </c>
      <c r="H402" s="11">
        <v>1</v>
      </c>
      <c r="I402" s="11">
        <v>16.7483</v>
      </c>
      <c r="J402" s="11">
        <v>89.000100000000003</v>
      </c>
      <c r="K402" s="11">
        <v>0.4</v>
      </c>
      <c r="L402" s="15">
        <f t="shared" si="6"/>
        <v>3.2977777777777777</v>
      </c>
      <c r="M402" s="14">
        <f>IF(Tabla15[[#This Row],[COMBUSTIBLE]]="PETRÓLEO",L402*$Q$2,L402*$Q$4)</f>
        <v>3960.6311111111108</v>
      </c>
      <c r="N402" s="12" t="str">
        <f>IF(OR(WEEKDAY(Tabla15[[#This Row],[Fecha]],2)=6,WEEKDAY(Tabla15[[#This Row],[Fecha]],2)=7),"Fin de semana","Semana")</f>
        <v>Semana</v>
      </c>
    </row>
    <row r="403" spans="1:14" ht="12.75" customHeight="1" x14ac:dyDescent="0.25">
      <c r="A403" s="11" t="str">
        <f>_xlfn.XLOOKUP(Tabla15[[#This Row],[GPS]],Hoja3!A:A,Hoja3!B:B)</f>
        <v>TRACTOR</v>
      </c>
      <c r="B403" s="11" t="str">
        <f>_xlfn.XLOOKUP(GPS!D403,Hoja3!A:A,Hoja3!D:D)</f>
        <v>PETRÓLEO</v>
      </c>
      <c r="C403" s="12" t="str">
        <f>_xlfn.XLOOKUP(Tabla15[[#This Row],[GPS]],Hoja3!A:A,Hoja3!C:C)</f>
        <v>T11</v>
      </c>
      <c r="D403" s="12" t="s">
        <v>15</v>
      </c>
      <c r="E403" s="13">
        <v>46139</v>
      </c>
      <c r="F403" s="11">
        <v>3.0194000000000001</v>
      </c>
      <c r="G403" s="11">
        <v>20.54</v>
      </c>
      <c r="H403" s="11">
        <v>1</v>
      </c>
      <c r="I403" s="11">
        <v>7.3483000000000001</v>
      </c>
      <c r="J403" s="11">
        <v>30</v>
      </c>
      <c r="K403" s="11">
        <v>0.38</v>
      </c>
      <c r="L403" s="15">
        <f t="shared" si="6"/>
        <v>3.4233333333333333</v>
      </c>
      <c r="M403" s="14">
        <f>IF(Tabla15[[#This Row],[COMBUSTIBLE]]="PETRÓLEO",L403*$Q$2,L403*$Q$4)</f>
        <v>4111.4233333333332</v>
      </c>
      <c r="N403" s="12" t="str">
        <f>IF(OR(WEEKDAY(Tabla15[[#This Row],[Fecha]],2)=6,WEEKDAY(Tabla15[[#This Row],[Fecha]],2)=7),"Fin de semana","Semana")</f>
        <v>Semana</v>
      </c>
    </row>
    <row r="404" spans="1:14" ht="12.75" customHeight="1" x14ac:dyDescent="0.25">
      <c r="A404" s="11" t="str">
        <f>_xlfn.XLOOKUP(Tabla15[[#This Row],[GPS]],Hoja3!A:A,Hoja3!B:B)</f>
        <v>TRACTOR</v>
      </c>
      <c r="B404" s="11" t="str">
        <f>_xlfn.XLOOKUP(GPS!D404,Hoja3!A:A,Hoja3!D:D)</f>
        <v>PETRÓLEO</v>
      </c>
      <c r="C404" s="12" t="str">
        <f>_xlfn.XLOOKUP(Tabla15[[#This Row],[GPS]],Hoja3!A:A,Hoja3!C:C)</f>
        <v>T14</v>
      </c>
      <c r="D404" s="12" t="s">
        <v>21</v>
      </c>
      <c r="E404" s="13">
        <v>46139</v>
      </c>
      <c r="F404" s="11">
        <v>2.8961000000000001</v>
      </c>
      <c r="G404" s="11">
        <v>17.77</v>
      </c>
      <c r="H404" s="11">
        <v>1</v>
      </c>
      <c r="I404" s="11">
        <v>9.3475000000000001</v>
      </c>
      <c r="J404" s="11">
        <v>66.931299999999993</v>
      </c>
      <c r="K404" s="11">
        <v>0.36</v>
      </c>
      <c r="L404" s="15">
        <f t="shared" si="6"/>
        <v>2.9616666666666664</v>
      </c>
      <c r="M404" s="14">
        <f>IF(Tabla15[[#This Row],[COMBUSTIBLE]]="PETRÓLEO",L404*$Q$2,L404*$Q$4)</f>
        <v>3556.9616666666666</v>
      </c>
      <c r="N404" s="12" t="str">
        <f>IF(OR(WEEKDAY(Tabla15[[#This Row],[Fecha]],2)=6,WEEKDAY(Tabla15[[#This Row],[Fecha]],2)=7),"Fin de semana","Semana")</f>
        <v>Semana</v>
      </c>
    </row>
    <row r="405" spans="1:14" ht="12.75" customHeight="1" x14ac:dyDescent="0.25">
      <c r="A405" s="11" t="str">
        <f>_xlfn.XLOOKUP(Tabla15[[#This Row],[GPS]],Hoja3!A:A,Hoja3!B:B)</f>
        <v>TRACTOR</v>
      </c>
      <c r="B405" s="11" t="str">
        <f>_xlfn.XLOOKUP(GPS!D405,Hoja3!A:A,Hoja3!D:D)</f>
        <v>PETRÓLEO</v>
      </c>
      <c r="C405" s="12" t="str">
        <f>_xlfn.XLOOKUP(Tabla15[[#This Row],[GPS]],Hoja3!A:A,Hoja3!C:C)</f>
        <v>T5</v>
      </c>
      <c r="D405" s="12" t="s">
        <v>24</v>
      </c>
      <c r="E405" s="13">
        <v>46139</v>
      </c>
      <c r="F405" s="11">
        <v>2.4053</v>
      </c>
      <c r="G405" s="11">
        <v>9.06</v>
      </c>
      <c r="H405" s="11">
        <v>1</v>
      </c>
      <c r="I405" s="11">
        <v>5.4428999999999998</v>
      </c>
      <c r="J405" s="11">
        <v>25.390899999999998</v>
      </c>
      <c r="K405" s="11">
        <v>0.3</v>
      </c>
      <c r="L405" s="15">
        <f t="shared" si="6"/>
        <v>1.51</v>
      </c>
      <c r="M405" s="14">
        <f>IF(Tabla15[[#This Row],[COMBUSTIBLE]]="PETRÓLEO",L405*$Q$2,L405*$Q$4)</f>
        <v>1813.51</v>
      </c>
      <c r="N405" s="12" t="str">
        <f>IF(OR(WEEKDAY(Tabla15[[#This Row],[Fecha]],2)=6,WEEKDAY(Tabla15[[#This Row],[Fecha]],2)=7),"Fin de semana","Semana")</f>
        <v>Semana</v>
      </c>
    </row>
    <row r="406" spans="1:14" ht="12.75" customHeight="1" x14ac:dyDescent="0.25">
      <c r="A406" s="11" t="str">
        <f>_xlfn.XLOOKUP(Tabla15[[#This Row],[GPS]],Hoja3!A:A,Hoja3!B:B)</f>
        <v>CAMIONETA</v>
      </c>
      <c r="B406" s="11" t="str">
        <f>_xlfn.XLOOKUP(GPS!D406,Hoja3!A:A,Hoja3!D:D)</f>
        <v>PETRÓLEO</v>
      </c>
      <c r="C406" s="12" t="str">
        <f>_xlfn.XLOOKUP(Tabla15[[#This Row],[GPS]],Hoja3!A:A,Hoja3!C:C)</f>
        <v>GONZALO GUERRERO</v>
      </c>
      <c r="D406" s="12" t="s">
        <v>126</v>
      </c>
      <c r="E406" s="13">
        <v>46139</v>
      </c>
      <c r="F406" s="11">
        <v>2.1307999999999998</v>
      </c>
      <c r="G406" s="11">
        <v>52.24</v>
      </c>
      <c r="H406" s="11">
        <v>1</v>
      </c>
      <c r="I406" s="11">
        <v>31.597000000000001</v>
      </c>
      <c r="J406" s="11">
        <v>155.10499999999999</v>
      </c>
      <c r="K406" s="11">
        <v>0.27</v>
      </c>
      <c r="L406" s="15">
        <f t="shared" si="6"/>
        <v>5.804444444444445</v>
      </c>
      <c r="M406" s="14">
        <f>IF(Tabla15[[#This Row],[COMBUSTIBLE]]="PETRÓLEO",L406*$Q$2,L406*$Q$4)</f>
        <v>6971.137777777778</v>
      </c>
      <c r="N406" s="12" t="str">
        <f>IF(OR(WEEKDAY(Tabla15[[#This Row],[Fecha]],2)=6,WEEKDAY(Tabla15[[#This Row],[Fecha]],2)=7),"Fin de semana","Semana")</f>
        <v>Semana</v>
      </c>
    </row>
    <row r="407" spans="1:14" ht="12.75" customHeight="1" x14ac:dyDescent="0.25">
      <c r="A407" s="11" t="str">
        <f>_xlfn.XLOOKUP(Tabla15[[#This Row],[GPS]],Hoja3!A:A,Hoja3!B:B)</f>
        <v>TRACTOR</v>
      </c>
      <c r="B407" s="11" t="str">
        <f>_xlfn.XLOOKUP(GPS!D407,Hoja3!A:A,Hoja3!D:D)</f>
        <v>PETRÓLEO</v>
      </c>
      <c r="C407" s="12" t="str">
        <f>_xlfn.XLOOKUP(Tabla15[[#This Row],[GPS]],Hoja3!A:A,Hoja3!C:C)</f>
        <v>T12</v>
      </c>
      <c r="D407" s="12" t="s">
        <v>17</v>
      </c>
      <c r="E407" s="13">
        <v>46139</v>
      </c>
      <c r="F407" s="11">
        <v>1.0993999999999999</v>
      </c>
      <c r="G407" s="11">
        <v>5.58</v>
      </c>
      <c r="H407" s="11">
        <v>1</v>
      </c>
      <c r="I407" s="11">
        <v>8.6015999999999995</v>
      </c>
      <c r="J407" s="11">
        <v>17.427299999999999</v>
      </c>
      <c r="K407" s="11">
        <v>0.14000000000000001</v>
      </c>
      <c r="L407" s="15">
        <f t="shared" si="6"/>
        <v>0.93</v>
      </c>
      <c r="M407" s="14">
        <f>IF(Tabla15[[#This Row],[COMBUSTIBLE]]="PETRÓLEO",L407*$Q$2,L407*$Q$4)</f>
        <v>1116.93</v>
      </c>
      <c r="N407" s="12" t="str">
        <f>IF(OR(WEEKDAY(Tabla15[[#This Row],[Fecha]],2)=6,WEEKDAY(Tabla15[[#This Row],[Fecha]],2)=7),"Fin de semana","Semana")</f>
        <v>Semana</v>
      </c>
    </row>
    <row r="408" spans="1:14" ht="12.75" customHeight="1" x14ac:dyDescent="0.25">
      <c r="A408" s="11" t="str">
        <f>_xlfn.XLOOKUP(Tabla15[[#This Row],[GPS]],Hoja3!A:A,Hoja3!B:B)</f>
        <v>TRACTOR</v>
      </c>
      <c r="B408" s="11" t="str">
        <f>_xlfn.XLOOKUP(GPS!D408,Hoja3!A:A,Hoja3!D:D)</f>
        <v>PETRÓLEO</v>
      </c>
      <c r="C408" s="12" t="str">
        <f>_xlfn.XLOOKUP(Tabla15[[#This Row],[GPS]],Hoja3!A:A,Hoja3!C:C)</f>
        <v>T6</v>
      </c>
      <c r="D408" s="12" t="s">
        <v>25</v>
      </c>
      <c r="E408" s="13">
        <v>46139</v>
      </c>
      <c r="F408" s="11">
        <v>0.77080000000000004</v>
      </c>
      <c r="G408" s="11">
        <v>0.82</v>
      </c>
      <c r="H408" s="11">
        <v>0</v>
      </c>
      <c r="I408" s="11">
        <v>4.5353000000000003</v>
      </c>
      <c r="J408" s="11">
        <v>22.298100000000002</v>
      </c>
      <c r="K408" s="11">
        <v>0.1</v>
      </c>
      <c r="L408" s="15">
        <f t="shared" si="6"/>
        <v>0.13666666666666666</v>
      </c>
      <c r="M408" s="14">
        <f>IF(Tabla15[[#This Row],[COMBUSTIBLE]]="PETRÓLEO",L408*$Q$2,L408*$Q$4)</f>
        <v>164.13666666666666</v>
      </c>
      <c r="N408" s="12" t="str">
        <f>IF(OR(WEEKDAY(Tabla15[[#This Row],[Fecha]],2)=6,WEEKDAY(Tabla15[[#This Row],[Fecha]],2)=7),"Fin de semana","Semana")</f>
        <v>Semana</v>
      </c>
    </row>
    <row r="409" spans="1:14" ht="12.75" customHeight="1" x14ac:dyDescent="0.25">
      <c r="A409" s="11" t="str">
        <f>_xlfn.XLOOKUP(Tabla15[[#This Row],[GPS]],Hoja3!A:A,Hoja3!B:B)</f>
        <v>CAMIONETA</v>
      </c>
      <c r="B409" s="11" t="str">
        <f>_xlfn.XLOOKUP(GPS!D409,Hoja3!A:A,Hoja3!D:D)</f>
        <v>BENCINA</v>
      </c>
      <c r="C409" s="12" t="str">
        <f>_xlfn.XLOOKUP(Tabla15[[#This Row],[GPS]],Hoja3!A:A,Hoja3!C:C)</f>
        <v>VG PIÑALEO</v>
      </c>
      <c r="D409" s="12" t="s">
        <v>114</v>
      </c>
      <c r="E409" s="13">
        <v>46139</v>
      </c>
      <c r="F409" s="11">
        <v>0</v>
      </c>
      <c r="G409" s="11">
        <v>37.409999999999997</v>
      </c>
      <c r="H409" s="11">
        <v>1</v>
      </c>
      <c r="I409" s="11">
        <v>35.293500000000002</v>
      </c>
      <c r="J409" s="11">
        <v>106</v>
      </c>
      <c r="K409" s="11">
        <v>0</v>
      </c>
      <c r="L409" s="15">
        <f t="shared" si="6"/>
        <v>3.4009090909090904</v>
      </c>
      <c r="M409" s="14">
        <f>IF(Tabla15[[#This Row],[COMBUSTIBLE]]="PETRÓLEO",L409*$Q$2,L409*$Q$4)</f>
        <v>5271.4090909090901</v>
      </c>
      <c r="N409" s="12" t="str">
        <f>IF(OR(WEEKDAY(Tabla15[[#This Row],[Fecha]],2)=6,WEEKDAY(Tabla15[[#This Row],[Fecha]],2)=7),"Fin de semana","Semana")</f>
        <v>Semana</v>
      </c>
    </row>
    <row r="410" spans="1:14" ht="12.75" customHeight="1" x14ac:dyDescent="0.25">
      <c r="A410" s="11" t="str">
        <f>_xlfn.XLOOKUP(Tabla15[[#This Row],[GPS]],Hoja3!A:A,Hoja3!B:B)</f>
        <v>CAMIONETA</v>
      </c>
      <c r="B410" s="11" t="str">
        <f>_xlfn.XLOOKUP(GPS!D410,Hoja3!A:A,Hoja3!D:D)</f>
        <v>BENCINA</v>
      </c>
      <c r="C410" s="12" t="str">
        <f>_xlfn.XLOOKUP(Tabla15[[#This Row],[GPS]],Hoja3!A:A,Hoja3!C:C)</f>
        <v>VG CERRILLOS</v>
      </c>
      <c r="D410" s="12" t="s">
        <v>137</v>
      </c>
      <c r="E410" s="13">
        <v>46139</v>
      </c>
      <c r="F410" s="11">
        <v>0</v>
      </c>
      <c r="G410" s="11">
        <v>26.26</v>
      </c>
      <c r="H410" s="11">
        <v>1</v>
      </c>
      <c r="I410" s="11">
        <v>14.729100000000001</v>
      </c>
      <c r="J410" s="11">
        <v>43.410899999999998</v>
      </c>
      <c r="K410" s="11">
        <v>0</v>
      </c>
      <c r="L410" s="15">
        <f t="shared" si="6"/>
        <v>2.3872727272727272</v>
      </c>
      <c r="M410" s="14">
        <f>IF(Tabla15[[#This Row],[COMBUSTIBLE]]="PETRÓLEO",L410*$Q$2,L410*$Q$4)</f>
        <v>3700.272727272727</v>
      </c>
      <c r="N410" s="12" t="str">
        <f>IF(OR(WEEKDAY(Tabla15[[#This Row],[Fecha]],2)=6,WEEKDAY(Tabla15[[#This Row],[Fecha]],2)=7),"Fin de semana","Semana")</f>
        <v>Semana</v>
      </c>
    </row>
    <row r="411" spans="1:14" ht="12.75" customHeight="1" x14ac:dyDescent="0.25">
      <c r="A411" s="11" t="str">
        <f>_xlfn.XLOOKUP(Tabla15[[#This Row],[GPS]],Hoja3!A:A,Hoja3!B:B)</f>
        <v>CAMIONETA</v>
      </c>
      <c r="B411" s="11" t="str">
        <f>_xlfn.XLOOKUP(GPS!D411,Hoja3!A:A,Hoja3!D:D)</f>
        <v>BENCINA</v>
      </c>
      <c r="C411" s="12" t="str">
        <f>_xlfn.XLOOKUP(Tabla15[[#This Row],[GPS]],Hoja3!A:A,Hoja3!C:C)</f>
        <v>VG GERARDO</v>
      </c>
      <c r="D411" s="12" t="s">
        <v>118</v>
      </c>
      <c r="E411" s="13">
        <v>46139</v>
      </c>
      <c r="F411" s="11">
        <v>0</v>
      </c>
      <c r="G411" s="11">
        <v>59.68</v>
      </c>
      <c r="H411" s="11">
        <v>1</v>
      </c>
      <c r="I411" s="11">
        <v>29.482099999999999</v>
      </c>
      <c r="J411" s="11">
        <v>111.583</v>
      </c>
      <c r="K411" s="11">
        <v>0</v>
      </c>
      <c r="L411" s="15">
        <f t="shared" si="6"/>
        <v>5.4254545454545458</v>
      </c>
      <c r="M411" s="14">
        <f>IF(Tabla15[[#This Row],[COMBUSTIBLE]]="PETRÓLEO",L411*$Q$2,L411*$Q$4)</f>
        <v>8409.454545454546</v>
      </c>
      <c r="N411" s="12" t="str">
        <f>IF(OR(WEEKDAY(Tabla15[[#This Row],[Fecha]],2)=6,WEEKDAY(Tabla15[[#This Row],[Fecha]],2)=7),"Fin de semana","Semana")</f>
        <v>Semana</v>
      </c>
    </row>
    <row r="412" spans="1:14" ht="12.75" customHeight="1" x14ac:dyDescent="0.25">
      <c r="A412" s="11" t="str">
        <f>_xlfn.XLOOKUP(Tabla15[[#This Row],[GPS]],Hoja3!A:A,Hoja3!B:B)</f>
        <v>CAMIONETA</v>
      </c>
      <c r="B412" s="11" t="str">
        <f>_xlfn.XLOOKUP(GPS!D412,Hoja3!A:A,Hoja3!D:D)</f>
        <v>PETRÓLEO</v>
      </c>
      <c r="C412" s="12" t="str">
        <f>_xlfn.XLOOKUP(Tabla15[[#This Row],[GPS]],Hoja3!A:A,Hoja3!C:C)</f>
        <v>SERGIO ROJAS</v>
      </c>
      <c r="D412" s="12" t="s">
        <v>128</v>
      </c>
      <c r="E412" s="13">
        <v>46139</v>
      </c>
      <c r="F412" s="11">
        <v>0</v>
      </c>
      <c r="G412" s="11">
        <v>48.03</v>
      </c>
      <c r="H412" s="11">
        <v>1</v>
      </c>
      <c r="I412" s="11">
        <v>19.776700000000002</v>
      </c>
      <c r="J412" s="11">
        <v>81</v>
      </c>
      <c r="K412" s="11">
        <v>0</v>
      </c>
      <c r="L412" s="15">
        <f t="shared" si="6"/>
        <v>5.3366666666666669</v>
      </c>
      <c r="M412" s="14">
        <f>IF(Tabla15[[#This Row],[COMBUSTIBLE]]="PETRÓLEO",L412*$Q$2,L412*$Q$4)</f>
        <v>6409.336666666667</v>
      </c>
      <c r="N412" s="12" t="str">
        <f>IF(OR(WEEKDAY(Tabla15[[#This Row],[Fecha]],2)=6,WEEKDAY(Tabla15[[#This Row],[Fecha]],2)=7),"Fin de semana","Semana")</f>
        <v>Semana</v>
      </c>
    </row>
    <row r="413" spans="1:14" ht="12.75" customHeight="1" x14ac:dyDescent="0.25">
      <c r="A413" s="11" t="str">
        <f>_xlfn.XLOOKUP(Tabla15[[#This Row],[GPS]],Hoja3!A:A,Hoja3!B:B)</f>
        <v>TRACTOR</v>
      </c>
      <c r="B413" s="11" t="str">
        <f>_xlfn.XLOOKUP(GPS!D413,Hoja3!A:A,Hoja3!D:D)</f>
        <v>PETRÓLEO</v>
      </c>
      <c r="C413" s="12" t="str">
        <f>_xlfn.XLOOKUP(Tabla15[[#This Row],[GPS]],Hoja3!A:A,Hoja3!C:C)</f>
        <v>T9</v>
      </c>
      <c r="D413" s="12" t="s">
        <v>28</v>
      </c>
      <c r="E413" s="13">
        <v>46140</v>
      </c>
      <c r="F413" s="11">
        <v>12.2506</v>
      </c>
      <c r="G413" s="11">
        <v>40.76</v>
      </c>
      <c r="H413" s="11">
        <v>1</v>
      </c>
      <c r="I413" s="11">
        <v>4.9397000000000002</v>
      </c>
      <c r="J413" s="11">
        <v>15.427199999999999</v>
      </c>
      <c r="K413" s="11">
        <v>1.53</v>
      </c>
      <c r="L413" s="15">
        <f t="shared" si="6"/>
        <v>6.793333333333333</v>
      </c>
      <c r="M413" s="14">
        <f>IF(Tabla15[[#This Row],[COMBUSTIBLE]]="PETRÓLEO",L413*$Q$2,L413*$Q$4)</f>
        <v>8158.7933333333331</v>
      </c>
      <c r="N413" s="12" t="str">
        <f>IF(OR(WEEKDAY(Tabla15[[#This Row],[Fecha]],2)=6,WEEKDAY(Tabla15[[#This Row],[Fecha]],2)=7),"Fin de semana","Semana")</f>
        <v>Semana</v>
      </c>
    </row>
    <row r="414" spans="1:14" ht="12.75" customHeight="1" x14ac:dyDescent="0.25">
      <c r="A414" s="11" t="str">
        <f>_xlfn.XLOOKUP(Tabla15[[#This Row],[GPS]],Hoja3!A:A,Hoja3!B:B)</f>
        <v>TRACTOR</v>
      </c>
      <c r="B414" s="11" t="str">
        <f>_xlfn.XLOOKUP(GPS!D414,Hoja3!A:A,Hoja3!D:D)</f>
        <v>PETRÓLEO</v>
      </c>
      <c r="C414" s="12" t="str">
        <f>_xlfn.XLOOKUP(Tabla15[[#This Row],[GPS]],Hoja3!A:A,Hoja3!C:C)</f>
        <v>T10</v>
      </c>
      <c r="D414" s="12" t="s">
        <v>14</v>
      </c>
      <c r="E414" s="13">
        <v>46140</v>
      </c>
      <c r="F414" s="11">
        <v>7.2877999999999998</v>
      </c>
      <c r="G414" s="11">
        <v>16.059999999999999</v>
      </c>
      <c r="H414" s="11">
        <v>1</v>
      </c>
      <c r="I414" s="11">
        <v>7.61</v>
      </c>
      <c r="J414" s="11">
        <v>68.190600000000003</v>
      </c>
      <c r="K414" s="11">
        <v>0.91</v>
      </c>
      <c r="L414" s="15">
        <f t="shared" si="6"/>
        <v>2.6766666666666663</v>
      </c>
      <c r="M414" s="14">
        <f>IF(Tabla15[[#This Row],[COMBUSTIBLE]]="PETRÓLEO",L414*$Q$2,L414*$Q$4)</f>
        <v>3214.6766666666663</v>
      </c>
      <c r="N414" s="12" t="str">
        <f>IF(OR(WEEKDAY(Tabla15[[#This Row],[Fecha]],2)=6,WEEKDAY(Tabla15[[#This Row],[Fecha]],2)=7),"Fin de semana","Semana")</f>
        <v>Semana</v>
      </c>
    </row>
    <row r="415" spans="1:14" ht="12.75" customHeight="1" x14ac:dyDescent="0.25">
      <c r="A415" s="11" t="str">
        <f>_xlfn.XLOOKUP(Tabla15[[#This Row],[GPS]],Hoja3!A:A,Hoja3!B:B)</f>
        <v>TRACTOR</v>
      </c>
      <c r="B415" s="11" t="str">
        <f>_xlfn.XLOOKUP(GPS!D415,Hoja3!A:A,Hoja3!D:D)</f>
        <v>PETRÓLEO</v>
      </c>
      <c r="C415" s="12" t="str">
        <f>_xlfn.XLOOKUP(Tabla15[[#This Row],[GPS]],Hoja3!A:A,Hoja3!C:C)</f>
        <v>T7</v>
      </c>
      <c r="D415" s="12" t="s">
        <v>26</v>
      </c>
      <c r="E415" s="13">
        <v>46140</v>
      </c>
      <c r="F415" s="11">
        <v>6.72</v>
      </c>
      <c r="G415" s="11">
        <v>9.3000000000000007</v>
      </c>
      <c r="H415" s="11">
        <v>1</v>
      </c>
      <c r="I415" s="11">
        <v>4.5602999999999998</v>
      </c>
      <c r="J415" s="11">
        <v>22.538799999999998</v>
      </c>
      <c r="K415" s="11">
        <v>0.84</v>
      </c>
      <c r="L415" s="15">
        <f t="shared" si="6"/>
        <v>1.55</v>
      </c>
      <c r="M415" s="14">
        <f>IF(Tabla15[[#This Row],[COMBUSTIBLE]]="PETRÓLEO",L415*$Q$2,L415*$Q$4)</f>
        <v>1861.55</v>
      </c>
      <c r="N415" s="12" t="str">
        <f>IF(OR(WEEKDAY(Tabla15[[#This Row],[Fecha]],2)=6,WEEKDAY(Tabla15[[#This Row],[Fecha]],2)=7),"Fin de semana","Semana")</f>
        <v>Semana</v>
      </c>
    </row>
    <row r="416" spans="1:14" ht="12.75" customHeight="1" x14ac:dyDescent="0.25">
      <c r="A416" s="11" t="str">
        <f>_xlfn.XLOOKUP(Tabla15[[#This Row],[GPS]],Hoja3!A:A,Hoja3!B:B)</f>
        <v>TRACTOR</v>
      </c>
      <c r="B416" s="11" t="str">
        <f>_xlfn.XLOOKUP(GPS!D416,Hoja3!A:A,Hoja3!D:D)</f>
        <v>PETRÓLEO</v>
      </c>
      <c r="C416" s="12" t="str">
        <f>_xlfn.XLOOKUP(Tabla15[[#This Row],[GPS]],Hoja3!A:A,Hoja3!C:C)</f>
        <v>T13</v>
      </c>
      <c r="D416" s="12" t="s">
        <v>19</v>
      </c>
      <c r="E416" s="13">
        <v>46140</v>
      </c>
      <c r="F416" s="11">
        <v>5.8102999999999998</v>
      </c>
      <c r="G416" s="11">
        <v>51.4</v>
      </c>
      <c r="H416" s="11">
        <v>1</v>
      </c>
      <c r="I416" s="11">
        <v>11.2164</v>
      </c>
      <c r="J416" s="11">
        <v>48.800199999999997</v>
      </c>
      <c r="K416" s="11">
        <v>0.73</v>
      </c>
      <c r="L416" s="15">
        <f t="shared" si="6"/>
        <v>8.5666666666666664</v>
      </c>
      <c r="M416" s="14">
        <f>IF(Tabla15[[#This Row],[COMBUSTIBLE]]="PETRÓLEO",L416*$Q$2,L416*$Q$4)</f>
        <v>10288.566666666666</v>
      </c>
      <c r="N416" s="12" t="str">
        <f>IF(OR(WEEKDAY(Tabla15[[#This Row],[Fecha]],2)=6,WEEKDAY(Tabla15[[#This Row],[Fecha]],2)=7),"Fin de semana","Semana")</f>
        <v>Semana</v>
      </c>
    </row>
    <row r="417" spans="1:14" ht="12.75" customHeight="1" x14ac:dyDescent="0.25">
      <c r="A417" s="11" t="str">
        <f>_xlfn.XLOOKUP(Tabla15[[#This Row],[GPS]],Hoja3!A:A,Hoja3!B:B)</f>
        <v>TRACTOR</v>
      </c>
      <c r="B417" s="11" t="str">
        <f>_xlfn.XLOOKUP(GPS!D417,Hoja3!A:A,Hoja3!D:D)</f>
        <v>PETRÓLEO</v>
      </c>
      <c r="C417" s="12" t="str">
        <f>_xlfn.XLOOKUP(Tabla15[[#This Row],[GPS]],Hoja3!A:A,Hoja3!C:C)</f>
        <v>T6</v>
      </c>
      <c r="D417" s="12" t="s">
        <v>25</v>
      </c>
      <c r="E417" s="13">
        <v>46140</v>
      </c>
      <c r="F417" s="11">
        <v>5.0331000000000001</v>
      </c>
      <c r="G417" s="11">
        <v>6.32</v>
      </c>
      <c r="H417" s="11">
        <v>1</v>
      </c>
      <c r="I417" s="11">
        <v>4.649</v>
      </c>
      <c r="J417" s="11">
        <v>17.6496</v>
      </c>
      <c r="K417" s="11">
        <v>0.63</v>
      </c>
      <c r="L417" s="15">
        <f t="shared" si="6"/>
        <v>1.0533333333333335</v>
      </c>
      <c r="M417" s="14">
        <f>IF(Tabla15[[#This Row],[COMBUSTIBLE]]="PETRÓLEO",L417*$Q$2,L417*$Q$4)</f>
        <v>1265.0533333333335</v>
      </c>
      <c r="N417" s="12" t="str">
        <f>IF(OR(WEEKDAY(Tabla15[[#This Row],[Fecha]],2)=6,WEEKDAY(Tabla15[[#This Row],[Fecha]],2)=7),"Fin de semana","Semana")</f>
        <v>Semana</v>
      </c>
    </row>
    <row r="418" spans="1:14" ht="12.75" customHeight="1" x14ac:dyDescent="0.25">
      <c r="A418" s="11" t="str">
        <f>_xlfn.XLOOKUP(Tabla15[[#This Row],[GPS]],Hoja3!A:A,Hoja3!B:B)</f>
        <v>CAMIONETA</v>
      </c>
      <c r="B418" s="11" t="str">
        <f>_xlfn.XLOOKUP(GPS!D418,Hoja3!A:A,Hoja3!D:D)</f>
        <v>PETRÓLEO</v>
      </c>
      <c r="C418" s="12" t="str">
        <f>_xlfn.XLOOKUP(Tabla15[[#This Row],[GPS]],Hoja3!A:A,Hoja3!C:C)</f>
        <v>CAMPO CERRILLOS</v>
      </c>
      <c r="D418" s="12" t="s">
        <v>121</v>
      </c>
      <c r="E418" s="13">
        <v>46140</v>
      </c>
      <c r="F418" s="11">
        <v>4.8478000000000003</v>
      </c>
      <c r="G418" s="11">
        <v>35.450000000000003</v>
      </c>
      <c r="H418" s="11">
        <v>1</v>
      </c>
      <c r="I418" s="11">
        <v>15.7568</v>
      </c>
      <c r="J418" s="11">
        <v>41.707000000000001</v>
      </c>
      <c r="K418" s="11">
        <v>0.61</v>
      </c>
      <c r="L418" s="15">
        <f t="shared" si="6"/>
        <v>3.9388888888888891</v>
      </c>
      <c r="M418" s="14">
        <f>IF(Tabla15[[#This Row],[COMBUSTIBLE]]="PETRÓLEO",L418*$Q$2,L418*$Q$4)</f>
        <v>4730.6055555555558</v>
      </c>
      <c r="N418" s="12" t="str">
        <f>IF(OR(WEEKDAY(Tabla15[[#This Row],[Fecha]],2)=6,WEEKDAY(Tabla15[[#This Row],[Fecha]],2)=7),"Fin de semana","Semana")</f>
        <v>Semana</v>
      </c>
    </row>
    <row r="419" spans="1:14" ht="12.75" customHeight="1" x14ac:dyDescent="0.25">
      <c r="A419" s="11" t="str">
        <f>_xlfn.XLOOKUP(Tabla15[[#This Row],[GPS]],Hoja3!A:A,Hoja3!B:B)</f>
        <v>TRACTOR</v>
      </c>
      <c r="B419" s="11" t="str">
        <f>_xlfn.XLOOKUP(GPS!D419,Hoja3!A:A,Hoja3!D:D)</f>
        <v>PETRÓLEO</v>
      </c>
      <c r="C419" s="12" t="str">
        <f>_xlfn.XLOOKUP(Tabla15[[#This Row],[GPS]],Hoja3!A:A,Hoja3!C:C)</f>
        <v>T14</v>
      </c>
      <c r="D419" s="12" t="s">
        <v>21</v>
      </c>
      <c r="E419" s="13">
        <v>46140</v>
      </c>
      <c r="F419" s="11">
        <v>4.0407999999999999</v>
      </c>
      <c r="G419" s="11">
        <v>20.25</v>
      </c>
      <c r="H419" s="11">
        <v>1</v>
      </c>
      <c r="I419" s="11">
        <v>8.6105999999999998</v>
      </c>
      <c r="J419" s="11">
        <v>34.298999999999999</v>
      </c>
      <c r="K419" s="11">
        <v>0.51</v>
      </c>
      <c r="L419" s="15">
        <f t="shared" si="6"/>
        <v>3.375</v>
      </c>
      <c r="M419" s="14">
        <f>IF(Tabla15[[#This Row],[COMBUSTIBLE]]="PETRÓLEO",L419*$Q$2,L419*$Q$4)</f>
        <v>4053.375</v>
      </c>
      <c r="N419" s="12" t="str">
        <f>IF(OR(WEEKDAY(Tabla15[[#This Row],[Fecha]],2)=6,WEEKDAY(Tabla15[[#This Row],[Fecha]],2)=7),"Fin de semana","Semana")</f>
        <v>Semana</v>
      </c>
    </row>
    <row r="420" spans="1:14" ht="12.75" customHeight="1" x14ac:dyDescent="0.25">
      <c r="A420" s="11" t="str">
        <f>_xlfn.XLOOKUP(Tabla15[[#This Row],[GPS]],Hoja3!A:A,Hoja3!B:B)</f>
        <v>CAMIONETA</v>
      </c>
      <c r="B420" s="11" t="str">
        <f>_xlfn.XLOOKUP(GPS!D420,Hoja3!A:A,Hoja3!D:D)</f>
        <v>PETRÓLEO</v>
      </c>
      <c r="C420" s="12" t="str">
        <f>_xlfn.XLOOKUP(Tabla15[[#This Row],[GPS]],Hoja3!A:A,Hoja3!C:C)</f>
        <v>CAMPO RULO</v>
      </c>
      <c r="D420" s="12" t="s">
        <v>135</v>
      </c>
      <c r="E420" s="13">
        <v>46140</v>
      </c>
      <c r="F420" s="11">
        <v>3.5310999999999999</v>
      </c>
      <c r="G420" s="11">
        <v>47.88</v>
      </c>
      <c r="H420" s="11">
        <v>1</v>
      </c>
      <c r="I420" s="11">
        <v>19.747299999999999</v>
      </c>
      <c r="J420" s="11">
        <v>100</v>
      </c>
      <c r="K420" s="11">
        <v>0.44</v>
      </c>
      <c r="L420" s="15">
        <f t="shared" si="6"/>
        <v>5.32</v>
      </c>
      <c r="M420" s="14">
        <f>IF(Tabla15[[#This Row],[COMBUSTIBLE]]="PETRÓLEO",L420*$Q$2,L420*$Q$4)</f>
        <v>6389.3200000000006</v>
      </c>
      <c r="N420" s="12" t="str">
        <f>IF(OR(WEEKDAY(Tabla15[[#This Row],[Fecha]],2)=6,WEEKDAY(Tabla15[[#This Row],[Fecha]],2)=7),"Fin de semana","Semana")</f>
        <v>Semana</v>
      </c>
    </row>
    <row r="421" spans="1:14" ht="12.75" customHeight="1" x14ac:dyDescent="0.25">
      <c r="A421" s="11" t="str">
        <f>_xlfn.XLOOKUP(Tabla15[[#This Row],[GPS]],Hoja3!A:A,Hoja3!B:B)</f>
        <v>TRACTOR</v>
      </c>
      <c r="B421" s="11" t="str">
        <f>_xlfn.XLOOKUP(GPS!D421,Hoja3!A:A,Hoja3!D:D)</f>
        <v>PETRÓLEO</v>
      </c>
      <c r="C421" s="12" t="str">
        <f>_xlfn.XLOOKUP(Tabla15[[#This Row],[GPS]],Hoja3!A:A,Hoja3!C:C)</f>
        <v>T5</v>
      </c>
      <c r="D421" s="12" t="s">
        <v>24</v>
      </c>
      <c r="E421" s="13">
        <v>46140</v>
      </c>
      <c r="F421" s="11">
        <v>2.7210999999999999</v>
      </c>
      <c r="G421" s="11">
        <v>11.65</v>
      </c>
      <c r="H421" s="11">
        <v>1</v>
      </c>
      <c r="I421" s="11">
        <v>6.4889000000000001</v>
      </c>
      <c r="J421" s="11">
        <v>24.0001</v>
      </c>
      <c r="K421" s="11">
        <v>0.34</v>
      </c>
      <c r="L421" s="15">
        <f t="shared" si="6"/>
        <v>1.9416666666666667</v>
      </c>
      <c r="M421" s="14">
        <f>IF(Tabla15[[#This Row],[COMBUSTIBLE]]="PETRÓLEO",L421*$Q$2,L421*$Q$4)</f>
        <v>2331.9416666666666</v>
      </c>
      <c r="N421" s="12" t="str">
        <f>IF(OR(WEEKDAY(Tabla15[[#This Row],[Fecha]],2)=6,WEEKDAY(Tabla15[[#This Row],[Fecha]],2)=7),"Fin de semana","Semana")</f>
        <v>Semana</v>
      </c>
    </row>
    <row r="422" spans="1:14" ht="12.75" customHeight="1" x14ac:dyDescent="0.25">
      <c r="A422" s="11" t="str">
        <f>_xlfn.XLOOKUP(Tabla15[[#This Row],[GPS]],Hoja3!A:A,Hoja3!B:B)</f>
        <v>TRACTOR</v>
      </c>
      <c r="B422" s="11" t="str">
        <f>_xlfn.XLOOKUP(GPS!D422,Hoja3!A:A,Hoja3!D:D)</f>
        <v>PETRÓLEO</v>
      </c>
      <c r="C422" s="12" t="str">
        <f>_xlfn.XLOOKUP(Tabla15[[#This Row],[GPS]],Hoja3!A:A,Hoja3!C:C)</f>
        <v>T8</v>
      </c>
      <c r="D422" s="12" t="s">
        <v>27</v>
      </c>
      <c r="E422" s="13">
        <v>46140</v>
      </c>
      <c r="F422" s="11">
        <v>2.5867</v>
      </c>
      <c r="G422" s="11">
        <v>15.71</v>
      </c>
      <c r="H422" s="11">
        <v>1</v>
      </c>
      <c r="I422" s="11">
        <v>9.3740000000000006</v>
      </c>
      <c r="J422" s="11">
        <v>68.357299999999995</v>
      </c>
      <c r="K422" s="11">
        <v>0.32</v>
      </c>
      <c r="L422" s="15">
        <f t="shared" si="6"/>
        <v>2.6183333333333336</v>
      </c>
      <c r="M422" s="14">
        <f>IF(Tabla15[[#This Row],[COMBUSTIBLE]]="PETRÓLEO",L422*$Q$2,L422*$Q$4)</f>
        <v>3144.6183333333338</v>
      </c>
      <c r="N422" s="12" t="str">
        <f>IF(OR(WEEKDAY(Tabla15[[#This Row],[Fecha]],2)=6,WEEKDAY(Tabla15[[#This Row],[Fecha]],2)=7),"Fin de semana","Semana")</f>
        <v>Semana</v>
      </c>
    </row>
    <row r="423" spans="1:14" ht="12.75" customHeight="1" x14ac:dyDescent="0.25">
      <c r="A423" s="11" t="str">
        <f>_xlfn.XLOOKUP(Tabla15[[#This Row],[GPS]],Hoja3!A:A,Hoja3!B:B)</f>
        <v>CAMIONETA</v>
      </c>
      <c r="B423" s="11" t="str">
        <f>_xlfn.XLOOKUP(GPS!D423,Hoja3!A:A,Hoja3!D:D)</f>
        <v>PETRÓLEO</v>
      </c>
      <c r="C423" s="12" t="str">
        <f>_xlfn.XLOOKUP(Tabla15[[#This Row],[GPS]],Hoja3!A:A,Hoja3!C:C)</f>
        <v>CAMPO PAINE</v>
      </c>
      <c r="D423" s="12" t="s">
        <v>131</v>
      </c>
      <c r="E423" s="13">
        <v>46140</v>
      </c>
      <c r="F423" s="11">
        <v>2.5461</v>
      </c>
      <c r="G423" s="11">
        <v>67.89</v>
      </c>
      <c r="H423" s="11">
        <v>1</v>
      </c>
      <c r="I423" s="11">
        <v>33.054000000000002</v>
      </c>
      <c r="J423" s="11">
        <v>128.0001</v>
      </c>
      <c r="K423" s="11">
        <v>0.32</v>
      </c>
      <c r="L423" s="15">
        <f t="shared" si="6"/>
        <v>7.543333333333333</v>
      </c>
      <c r="M423" s="14">
        <f>IF(Tabla15[[#This Row],[COMBUSTIBLE]]="PETRÓLEO",L423*$Q$2,L423*$Q$4)</f>
        <v>9059.5433333333331</v>
      </c>
      <c r="N423" s="12" t="str">
        <f>IF(OR(WEEKDAY(Tabla15[[#This Row],[Fecha]],2)=6,WEEKDAY(Tabla15[[#This Row],[Fecha]],2)=7),"Fin de semana","Semana")</f>
        <v>Semana</v>
      </c>
    </row>
    <row r="424" spans="1:14" ht="12.75" customHeight="1" x14ac:dyDescent="0.25">
      <c r="A424" s="11" t="str">
        <f>_xlfn.XLOOKUP(Tabla15[[#This Row],[GPS]],Hoja3!A:A,Hoja3!B:B)</f>
        <v>CAMIONETA</v>
      </c>
      <c r="B424" s="11" t="str">
        <f>_xlfn.XLOOKUP(GPS!D424,Hoja3!A:A,Hoja3!D:D)</f>
        <v>PETRÓLEO</v>
      </c>
      <c r="C424" s="12" t="str">
        <f>_xlfn.XLOOKUP(Tabla15[[#This Row],[GPS]],Hoja3!A:A,Hoja3!C:C)</f>
        <v>RODRIGO SALINAS</v>
      </c>
      <c r="D424" s="12" t="s">
        <v>109</v>
      </c>
      <c r="E424" s="13">
        <v>46140</v>
      </c>
      <c r="F424" s="11">
        <v>2.5438999999999998</v>
      </c>
      <c r="G424" s="11">
        <v>119.74</v>
      </c>
      <c r="H424" s="11">
        <v>1</v>
      </c>
      <c r="I424" s="11">
        <v>47.3521</v>
      </c>
      <c r="J424" s="11">
        <v>179.607</v>
      </c>
      <c r="K424" s="11">
        <v>0.32</v>
      </c>
      <c r="L424" s="15">
        <f t="shared" si="6"/>
        <v>13.304444444444444</v>
      </c>
      <c r="M424" s="14">
        <f>IF(Tabla15[[#This Row],[COMBUSTIBLE]]="PETRÓLEO",L424*$Q$2,L424*$Q$4)</f>
        <v>15978.637777777778</v>
      </c>
      <c r="N424" s="12" t="str">
        <f>IF(OR(WEEKDAY(Tabla15[[#This Row],[Fecha]],2)=6,WEEKDAY(Tabla15[[#This Row],[Fecha]],2)=7),"Fin de semana","Semana")</f>
        <v>Semana</v>
      </c>
    </row>
    <row r="425" spans="1:14" ht="12.75" customHeight="1" x14ac:dyDescent="0.25">
      <c r="A425" s="11" t="str">
        <f>_xlfn.XLOOKUP(Tabla15[[#This Row],[GPS]],Hoja3!A:A,Hoja3!B:B)</f>
        <v>CAMIONETA</v>
      </c>
      <c r="B425" s="11" t="str">
        <f>_xlfn.XLOOKUP(GPS!D425,Hoja3!A:A,Hoja3!D:D)</f>
        <v>PETRÓLEO</v>
      </c>
      <c r="C425" s="12" t="str">
        <f>_xlfn.XLOOKUP(Tabla15[[#This Row],[GPS]],Hoja3!A:A,Hoja3!C:C)</f>
        <v>GONZALO GUERRERO</v>
      </c>
      <c r="D425" s="12" t="s">
        <v>126</v>
      </c>
      <c r="E425" s="13">
        <v>46140</v>
      </c>
      <c r="F425" s="11">
        <v>2.4036</v>
      </c>
      <c r="G425" s="11">
        <v>70.41</v>
      </c>
      <c r="H425" s="11">
        <v>1</v>
      </c>
      <c r="I425" s="11">
        <v>37.284100000000002</v>
      </c>
      <c r="J425" s="11">
        <v>132</v>
      </c>
      <c r="K425" s="11">
        <v>0.3</v>
      </c>
      <c r="L425" s="15">
        <f t="shared" si="6"/>
        <v>7.8233333333333333</v>
      </c>
      <c r="M425" s="14">
        <f>IF(Tabla15[[#This Row],[COMBUSTIBLE]]="PETRÓLEO",L425*$Q$2,L425*$Q$4)</f>
        <v>9395.8233333333337</v>
      </c>
      <c r="N425" s="12" t="str">
        <f>IF(OR(WEEKDAY(Tabla15[[#This Row],[Fecha]],2)=6,WEEKDAY(Tabla15[[#This Row],[Fecha]],2)=7),"Fin de semana","Semana")</f>
        <v>Semana</v>
      </c>
    </row>
    <row r="426" spans="1:14" ht="12.75" customHeight="1" x14ac:dyDescent="0.25">
      <c r="A426" s="11" t="str">
        <f>_xlfn.XLOOKUP(Tabla15[[#This Row],[GPS]],Hoja3!A:A,Hoja3!B:B)</f>
        <v>TRACTOR</v>
      </c>
      <c r="B426" s="11" t="str">
        <f>_xlfn.XLOOKUP(GPS!D426,Hoja3!A:A,Hoja3!D:D)</f>
        <v>PETRÓLEO</v>
      </c>
      <c r="C426" s="12" t="str">
        <f>_xlfn.XLOOKUP(Tabla15[[#This Row],[GPS]],Hoja3!A:A,Hoja3!C:C)</f>
        <v>T4</v>
      </c>
      <c r="D426" s="12" t="s">
        <v>23</v>
      </c>
      <c r="E426" s="13">
        <v>46140</v>
      </c>
      <c r="F426" s="11">
        <v>1.4308000000000001</v>
      </c>
      <c r="G426" s="11">
        <v>12.94</v>
      </c>
      <c r="H426" s="11">
        <v>1</v>
      </c>
      <c r="I426" s="11">
        <v>10.4366</v>
      </c>
      <c r="J426" s="11">
        <v>31.150600000000001</v>
      </c>
      <c r="K426" s="11">
        <v>0.18</v>
      </c>
      <c r="L426" s="15">
        <f t="shared" si="6"/>
        <v>2.1566666666666667</v>
      </c>
      <c r="M426" s="14">
        <f>IF(Tabla15[[#This Row],[COMBUSTIBLE]]="PETRÓLEO",L426*$Q$2,L426*$Q$4)</f>
        <v>2590.1566666666668</v>
      </c>
      <c r="N426" s="12" t="str">
        <f>IF(OR(WEEKDAY(Tabla15[[#This Row],[Fecha]],2)=6,WEEKDAY(Tabla15[[#This Row],[Fecha]],2)=7),"Fin de semana","Semana")</f>
        <v>Semana</v>
      </c>
    </row>
    <row r="427" spans="1:14" ht="12.75" customHeight="1" x14ac:dyDescent="0.25">
      <c r="A427" s="11" t="str">
        <f>_xlfn.XLOOKUP(Tabla15[[#This Row],[GPS]],Hoja3!A:A,Hoja3!B:B)</f>
        <v>TRACTOR</v>
      </c>
      <c r="B427" s="11" t="str">
        <f>_xlfn.XLOOKUP(GPS!D427,Hoja3!A:A,Hoja3!D:D)</f>
        <v>PETRÓLEO</v>
      </c>
      <c r="C427" s="12" t="str">
        <f>_xlfn.XLOOKUP(Tabla15[[#This Row],[GPS]],Hoja3!A:A,Hoja3!C:C)</f>
        <v>T11</v>
      </c>
      <c r="D427" s="12" t="s">
        <v>15</v>
      </c>
      <c r="E427" s="13">
        <v>46140</v>
      </c>
      <c r="F427" s="11">
        <v>0.88690000000000002</v>
      </c>
      <c r="G427" s="11">
        <v>8.51</v>
      </c>
      <c r="H427" s="11">
        <v>1</v>
      </c>
      <c r="I427" s="11">
        <v>8.4086999999999996</v>
      </c>
      <c r="J427" s="11">
        <v>67.246099999999998</v>
      </c>
      <c r="K427" s="11">
        <v>0.11</v>
      </c>
      <c r="L427" s="15">
        <f t="shared" si="6"/>
        <v>1.4183333333333332</v>
      </c>
      <c r="M427" s="14">
        <f>IF(Tabla15[[#This Row],[COMBUSTIBLE]]="PETRÓLEO",L427*$Q$2,L427*$Q$4)</f>
        <v>1703.4183333333333</v>
      </c>
      <c r="N427" s="12" t="str">
        <f>IF(OR(WEEKDAY(Tabla15[[#This Row],[Fecha]],2)=6,WEEKDAY(Tabla15[[#This Row],[Fecha]],2)=7),"Fin de semana","Semana")</f>
        <v>Semana</v>
      </c>
    </row>
    <row r="428" spans="1:14" ht="12.75" customHeight="1" x14ac:dyDescent="0.25">
      <c r="A428" s="11" t="str">
        <f>_xlfn.XLOOKUP(Tabla15[[#This Row],[GPS]],Hoja3!A:A,Hoja3!B:B)</f>
        <v>CAMIONETA</v>
      </c>
      <c r="B428" s="11" t="str">
        <f>_xlfn.XLOOKUP(GPS!D428,Hoja3!A:A,Hoja3!D:D)</f>
        <v>BENCINA</v>
      </c>
      <c r="C428" s="12" t="str">
        <f>_xlfn.XLOOKUP(Tabla15[[#This Row],[GPS]],Hoja3!A:A,Hoja3!C:C)</f>
        <v>VG CERRILLOS</v>
      </c>
      <c r="D428" s="12" t="s">
        <v>137</v>
      </c>
      <c r="E428" s="13">
        <v>46140</v>
      </c>
      <c r="F428" s="11">
        <v>0</v>
      </c>
      <c r="G428" s="11">
        <v>50.76</v>
      </c>
      <c r="H428" s="11">
        <v>1</v>
      </c>
      <c r="I428" s="11">
        <v>20.060199999999998</v>
      </c>
      <c r="J428" s="11">
        <v>107.0271</v>
      </c>
      <c r="K428" s="11">
        <v>0</v>
      </c>
      <c r="L428" s="15">
        <f t="shared" si="6"/>
        <v>4.6145454545454543</v>
      </c>
      <c r="M428" s="14">
        <f>IF(Tabla15[[#This Row],[COMBUSTIBLE]]="PETRÓLEO",L428*$Q$2,L428*$Q$4)</f>
        <v>7152.545454545454</v>
      </c>
      <c r="N428" s="12" t="str">
        <f>IF(OR(WEEKDAY(Tabla15[[#This Row],[Fecha]],2)=6,WEEKDAY(Tabla15[[#This Row],[Fecha]],2)=7),"Fin de semana","Semana")</f>
        <v>Semana</v>
      </c>
    </row>
    <row r="429" spans="1:14" ht="12.75" customHeight="1" x14ac:dyDescent="0.25">
      <c r="A429" s="11" t="str">
        <f>_xlfn.XLOOKUP(Tabla15[[#This Row],[GPS]],Hoja3!A:A,Hoja3!B:B)</f>
        <v>CAMIONETA</v>
      </c>
      <c r="B429" s="11" t="str">
        <f>_xlfn.XLOOKUP(GPS!D429,Hoja3!A:A,Hoja3!D:D)</f>
        <v>BENCINA</v>
      </c>
      <c r="C429" s="12" t="str">
        <f>_xlfn.XLOOKUP(Tabla15[[#This Row],[GPS]],Hoja3!A:A,Hoja3!C:C)</f>
        <v>VG PIÑALEO</v>
      </c>
      <c r="D429" s="12" t="s">
        <v>114</v>
      </c>
      <c r="E429" s="13">
        <v>46140</v>
      </c>
      <c r="F429" s="11">
        <v>0</v>
      </c>
      <c r="G429" s="11">
        <v>76.88</v>
      </c>
      <c r="H429" s="11">
        <v>1</v>
      </c>
      <c r="I429" s="11">
        <v>33.654800000000002</v>
      </c>
      <c r="J429" s="11">
        <v>111</v>
      </c>
      <c r="K429" s="11">
        <v>0</v>
      </c>
      <c r="L429" s="15">
        <f t="shared" si="6"/>
        <v>6.9890909090909084</v>
      </c>
      <c r="M429" s="14">
        <f>IF(Tabla15[[#This Row],[COMBUSTIBLE]]="PETRÓLEO",L429*$Q$2,L429*$Q$4)</f>
        <v>10833.090909090908</v>
      </c>
      <c r="N429" s="12" t="str">
        <f>IF(OR(WEEKDAY(Tabla15[[#This Row],[Fecha]],2)=6,WEEKDAY(Tabla15[[#This Row],[Fecha]],2)=7),"Fin de semana","Semana")</f>
        <v>Semana</v>
      </c>
    </row>
    <row r="430" spans="1:14" ht="12.75" customHeight="1" x14ac:dyDescent="0.25">
      <c r="A430" s="11" t="str">
        <f>_xlfn.XLOOKUP(Tabla15[[#This Row],[GPS]],Hoja3!A:A,Hoja3!B:B)</f>
        <v>CAMIONETA</v>
      </c>
      <c r="B430" s="11" t="str">
        <f>_xlfn.XLOOKUP(GPS!D430,Hoja3!A:A,Hoja3!D:D)</f>
        <v>PETRÓLEO</v>
      </c>
      <c r="C430" s="12" t="str">
        <f>_xlfn.XLOOKUP(Tabla15[[#This Row],[GPS]],Hoja3!A:A,Hoja3!C:C)</f>
        <v>SERGIO ROJAS</v>
      </c>
      <c r="D430" s="12" t="s">
        <v>128</v>
      </c>
      <c r="E430" s="13">
        <v>46140</v>
      </c>
      <c r="F430" s="11">
        <v>0</v>
      </c>
      <c r="G430" s="11">
        <v>47.56</v>
      </c>
      <c r="H430" s="11">
        <v>1</v>
      </c>
      <c r="I430" s="11">
        <v>23.918099999999999</v>
      </c>
      <c r="J430" s="11">
        <v>99</v>
      </c>
      <c r="K430" s="11">
        <v>0</v>
      </c>
      <c r="L430" s="15">
        <f t="shared" si="6"/>
        <v>5.2844444444444445</v>
      </c>
      <c r="M430" s="14">
        <f>IF(Tabla15[[#This Row],[COMBUSTIBLE]]="PETRÓLEO",L430*$Q$2,L430*$Q$4)</f>
        <v>6346.6177777777775</v>
      </c>
      <c r="N430" s="12" t="str">
        <f>IF(OR(WEEKDAY(Tabla15[[#This Row],[Fecha]],2)=6,WEEKDAY(Tabla15[[#This Row],[Fecha]],2)=7),"Fin de semana","Semana")</f>
        <v>Semana</v>
      </c>
    </row>
    <row r="431" spans="1:14" ht="12.75" customHeight="1" x14ac:dyDescent="0.25">
      <c r="A431" s="11" t="str">
        <f>_xlfn.XLOOKUP(Tabla15[[#This Row],[GPS]],Hoja3!A:A,Hoja3!B:B)</f>
        <v>CAMIONETA</v>
      </c>
      <c r="B431" s="11" t="str">
        <f>_xlfn.XLOOKUP(GPS!D431,Hoja3!A:A,Hoja3!D:D)</f>
        <v>BENCINA</v>
      </c>
      <c r="C431" s="12" t="str">
        <f>_xlfn.XLOOKUP(Tabla15[[#This Row],[GPS]],Hoja3!A:A,Hoja3!C:C)</f>
        <v>VG GERARDO</v>
      </c>
      <c r="D431" s="12" t="s">
        <v>118</v>
      </c>
      <c r="E431" s="13">
        <v>46140</v>
      </c>
      <c r="F431" s="11">
        <v>0</v>
      </c>
      <c r="G431" s="11">
        <v>53.62</v>
      </c>
      <c r="H431" s="11">
        <v>1</v>
      </c>
      <c r="I431" s="11">
        <v>28.854199999999999</v>
      </c>
      <c r="J431" s="11">
        <v>88.358900000000006</v>
      </c>
      <c r="K431" s="11">
        <v>0</v>
      </c>
      <c r="L431" s="15">
        <f t="shared" si="6"/>
        <v>4.8745454545454541</v>
      </c>
      <c r="M431" s="14">
        <f>IF(Tabla15[[#This Row],[COMBUSTIBLE]]="PETRÓLEO",L431*$Q$2,L431*$Q$4)</f>
        <v>7555.545454545454</v>
      </c>
      <c r="N431" s="12" t="str">
        <f>IF(OR(WEEKDAY(Tabla15[[#This Row],[Fecha]],2)=6,WEEKDAY(Tabla15[[#This Row],[Fecha]],2)=7),"Fin de semana","Semana")</f>
        <v>Semana</v>
      </c>
    </row>
    <row r="432" spans="1:14" ht="12.75" customHeight="1" x14ac:dyDescent="0.25">
      <c r="A432" s="11" t="str">
        <f>_xlfn.XLOOKUP(Tabla15[[#This Row],[GPS]],Hoja3!A:A,Hoja3!B:B)</f>
        <v>TRACTOR</v>
      </c>
      <c r="B432" s="11" t="str">
        <f>_xlfn.XLOOKUP(GPS!D432,Hoja3!A:A,Hoja3!D:D)</f>
        <v>PETRÓLEO</v>
      </c>
      <c r="C432" s="12" t="str">
        <f>_xlfn.XLOOKUP(Tabla15[[#This Row],[GPS]],Hoja3!A:A,Hoja3!C:C)</f>
        <v>T9</v>
      </c>
      <c r="D432" s="12" t="s">
        <v>28</v>
      </c>
      <c r="E432" s="13">
        <v>46141</v>
      </c>
      <c r="F432" s="11">
        <v>14.306100000000001</v>
      </c>
      <c r="G432" s="11">
        <v>19.52</v>
      </c>
      <c r="H432" s="11">
        <v>1</v>
      </c>
      <c r="I432" s="11">
        <v>5.5251000000000001</v>
      </c>
      <c r="J432" s="11">
        <v>17.927399999999999</v>
      </c>
      <c r="K432" s="11">
        <v>1.79</v>
      </c>
      <c r="L432" s="15">
        <f t="shared" si="6"/>
        <v>3.2533333333333334</v>
      </c>
      <c r="M432" s="14">
        <f>IF(Tabla15[[#This Row],[COMBUSTIBLE]]="PETRÓLEO",L432*$Q$2,L432*$Q$4)</f>
        <v>3907.2533333333336</v>
      </c>
      <c r="N432" s="12" t="str">
        <f>IF(OR(WEEKDAY(Tabla15[[#This Row],[Fecha]],2)=6,WEEKDAY(Tabla15[[#This Row],[Fecha]],2)=7),"Fin de semana","Semana")</f>
        <v>Semana</v>
      </c>
    </row>
    <row r="433" spans="1:14" ht="12.75" customHeight="1" x14ac:dyDescent="0.25">
      <c r="A433" s="11" t="str">
        <f>_xlfn.XLOOKUP(Tabla15[[#This Row],[GPS]],Hoja3!A:A,Hoja3!B:B)</f>
        <v>TRACTOR</v>
      </c>
      <c r="B433" s="11" t="str">
        <f>_xlfn.XLOOKUP(GPS!D433,Hoja3!A:A,Hoja3!D:D)</f>
        <v>PETRÓLEO</v>
      </c>
      <c r="C433" s="12" t="str">
        <f>_xlfn.XLOOKUP(Tabla15[[#This Row],[GPS]],Hoja3!A:A,Hoja3!C:C)</f>
        <v>T6</v>
      </c>
      <c r="D433" s="12" t="s">
        <v>25</v>
      </c>
      <c r="E433" s="13">
        <v>46141</v>
      </c>
      <c r="F433" s="11">
        <v>8.3228000000000009</v>
      </c>
      <c r="G433" s="11">
        <v>26.74</v>
      </c>
      <c r="H433" s="11">
        <v>1</v>
      </c>
      <c r="I433" s="11">
        <v>5.8849999999999998</v>
      </c>
      <c r="J433" s="11">
        <v>22.335100000000001</v>
      </c>
      <c r="K433" s="11">
        <v>1.04</v>
      </c>
      <c r="L433" s="15">
        <f t="shared" si="6"/>
        <v>4.4566666666666661</v>
      </c>
      <c r="M433" s="14">
        <f>IF(Tabla15[[#This Row],[COMBUSTIBLE]]="PETRÓLEO",L433*$Q$2,L433*$Q$4)</f>
        <v>5352.456666666666</v>
      </c>
      <c r="N433" s="12" t="str">
        <f>IF(OR(WEEKDAY(Tabla15[[#This Row],[Fecha]],2)=6,WEEKDAY(Tabla15[[#This Row],[Fecha]],2)=7),"Fin de semana","Semana")</f>
        <v>Semana</v>
      </c>
    </row>
    <row r="434" spans="1:14" ht="12.75" customHeight="1" x14ac:dyDescent="0.25">
      <c r="A434" s="11" t="str">
        <f>_xlfn.XLOOKUP(Tabla15[[#This Row],[GPS]],Hoja3!A:A,Hoja3!B:B)</f>
        <v>TRACTOR</v>
      </c>
      <c r="B434" s="11" t="str">
        <f>_xlfn.XLOOKUP(GPS!D434,Hoja3!A:A,Hoja3!D:D)</f>
        <v>PETRÓLEO</v>
      </c>
      <c r="C434" s="12" t="str">
        <f>_xlfn.XLOOKUP(Tabla15[[#This Row],[GPS]],Hoja3!A:A,Hoja3!C:C)</f>
        <v>T13</v>
      </c>
      <c r="D434" s="12" t="s">
        <v>19</v>
      </c>
      <c r="E434" s="13">
        <v>46141</v>
      </c>
      <c r="F434" s="11">
        <v>6.5122</v>
      </c>
      <c r="G434" s="11">
        <v>24.72</v>
      </c>
      <c r="H434" s="11">
        <v>1</v>
      </c>
      <c r="I434" s="11">
        <v>6.6856999999999998</v>
      </c>
      <c r="J434" s="11">
        <v>74.487399999999994</v>
      </c>
      <c r="K434" s="11">
        <v>0.81</v>
      </c>
      <c r="L434" s="15">
        <f t="shared" si="6"/>
        <v>4.12</v>
      </c>
      <c r="M434" s="14">
        <f>IF(Tabla15[[#This Row],[COMBUSTIBLE]]="PETRÓLEO",L434*$Q$2,L434*$Q$4)</f>
        <v>4948.12</v>
      </c>
      <c r="N434" s="12" t="str">
        <f>IF(OR(WEEKDAY(Tabla15[[#This Row],[Fecha]],2)=6,WEEKDAY(Tabla15[[#This Row],[Fecha]],2)=7),"Fin de semana","Semana")</f>
        <v>Semana</v>
      </c>
    </row>
    <row r="435" spans="1:14" ht="12.75" customHeight="1" x14ac:dyDescent="0.25">
      <c r="A435" s="11" t="str">
        <f>_xlfn.XLOOKUP(Tabla15[[#This Row],[GPS]],Hoja3!A:A,Hoja3!B:B)</f>
        <v>TRACTOR</v>
      </c>
      <c r="B435" s="11" t="str">
        <f>_xlfn.XLOOKUP(GPS!D435,Hoja3!A:A,Hoja3!D:D)</f>
        <v>PETRÓLEO</v>
      </c>
      <c r="C435" s="12" t="str">
        <f>_xlfn.XLOOKUP(Tabla15[[#This Row],[GPS]],Hoja3!A:A,Hoja3!C:C)</f>
        <v>T5</v>
      </c>
      <c r="D435" s="12" t="s">
        <v>24</v>
      </c>
      <c r="E435" s="13">
        <v>46141</v>
      </c>
      <c r="F435" s="11">
        <v>6.3441999999999998</v>
      </c>
      <c r="G435" s="11">
        <v>35.11</v>
      </c>
      <c r="H435" s="11">
        <v>1</v>
      </c>
      <c r="I435" s="11">
        <v>7.9782999999999999</v>
      </c>
      <c r="J435" s="11">
        <v>36.095500000000001</v>
      </c>
      <c r="K435" s="11">
        <v>0.79</v>
      </c>
      <c r="L435" s="15">
        <f t="shared" si="6"/>
        <v>5.8516666666666666</v>
      </c>
      <c r="M435" s="14">
        <f>IF(Tabla15[[#This Row],[COMBUSTIBLE]]="PETRÓLEO",L435*$Q$2,L435*$Q$4)</f>
        <v>7027.8516666666665</v>
      </c>
      <c r="N435" s="12" t="str">
        <f>IF(OR(WEEKDAY(Tabla15[[#This Row],[Fecha]],2)=6,WEEKDAY(Tabla15[[#This Row],[Fecha]],2)=7),"Fin de semana","Semana")</f>
        <v>Semana</v>
      </c>
    </row>
    <row r="436" spans="1:14" ht="12.75" customHeight="1" x14ac:dyDescent="0.25">
      <c r="A436" s="11" t="str">
        <f>_xlfn.XLOOKUP(Tabla15[[#This Row],[GPS]],Hoja3!A:A,Hoja3!B:B)</f>
        <v>TRACTOR</v>
      </c>
      <c r="B436" s="11" t="str">
        <f>_xlfn.XLOOKUP(GPS!D436,Hoja3!A:A,Hoja3!D:D)</f>
        <v>PETRÓLEO</v>
      </c>
      <c r="C436" s="12" t="str">
        <f>_xlfn.XLOOKUP(Tabla15[[#This Row],[GPS]],Hoja3!A:A,Hoja3!C:C)</f>
        <v>T7</v>
      </c>
      <c r="D436" s="12" t="s">
        <v>26</v>
      </c>
      <c r="E436" s="13">
        <v>46141</v>
      </c>
      <c r="F436" s="11">
        <v>6.0594000000000001</v>
      </c>
      <c r="G436" s="11">
        <v>10.4</v>
      </c>
      <c r="H436" s="11">
        <v>1</v>
      </c>
      <c r="I436" s="11">
        <v>4.3234000000000004</v>
      </c>
      <c r="J436" s="11">
        <v>16.204999999999998</v>
      </c>
      <c r="K436" s="11">
        <v>0.76</v>
      </c>
      <c r="L436" s="15">
        <f t="shared" si="6"/>
        <v>1.7333333333333334</v>
      </c>
      <c r="M436" s="14">
        <f>IF(Tabla15[[#This Row],[COMBUSTIBLE]]="PETRÓLEO",L436*$Q$2,L436*$Q$4)</f>
        <v>2081.7333333333336</v>
      </c>
      <c r="N436" s="12" t="str">
        <f>IF(OR(WEEKDAY(Tabla15[[#This Row],[Fecha]],2)=6,WEEKDAY(Tabla15[[#This Row],[Fecha]],2)=7),"Fin de semana","Semana")</f>
        <v>Semana</v>
      </c>
    </row>
    <row r="437" spans="1:14" ht="12.75" customHeight="1" x14ac:dyDescent="0.25">
      <c r="A437" s="11" t="str">
        <f>_xlfn.XLOOKUP(Tabla15[[#This Row],[GPS]],Hoja3!A:A,Hoja3!B:B)</f>
        <v>TRACTOR</v>
      </c>
      <c r="B437" s="11" t="str">
        <f>_xlfn.XLOOKUP(GPS!D437,Hoja3!A:A,Hoja3!D:D)</f>
        <v>PETRÓLEO</v>
      </c>
      <c r="C437" s="12" t="str">
        <f>_xlfn.XLOOKUP(Tabla15[[#This Row],[GPS]],Hoja3!A:A,Hoja3!C:C)</f>
        <v>T14</v>
      </c>
      <c r="D437" s="12" t="s">
        <v>21</v>
      </c>
      <c r="E437" s="13">
        <v>46141</v>
      </c>
      <c r="F437" s="11">
        <v>4.6158000000000001</v>
      </c>
      <c r="G437" s="11">
        <v>27.12</v>
      </c>
      <c r="H437" s="11">
        <v>1</v>
      </c>
      <c r="I437" s="11">
        <v>8.7691999999999997</v>
      </c>
      <c r="J437" s="11">
        <v>68.412899999999993</v>
      </c>
      <c r="K437" s="11">
        <v>0.57999999999999996</v>
      </c>
      <c r="L437" s="15">
        <f t="shared" si="6"/>
        <v>4.5200000000000005</v>
      </c>
      <c r="M437" s="14">
        <f>IF(Tabla15[[#This Row],[COMBUSTIBLE]]="PETRÓLEO",L437*$Q$2,L437*$Q$4)</f>
        <v>5428.52</v>
      </c>
      <c r="N437" s="12" t="str">
        <f>IF(OR(WEEKDAY(Tabla15[[#This Row],[Fecha]],2)=6,WEEKDAY(Tabla15[[#This Row],[Fecha]],2)=7),"Fin de semana","Semana")</f>
        <v>Semana</v>
      </c>
    </row>
    <row r="438" spans="1:14" ht="12.75" customHeight="1" x14ac:dyDescent="0.25">
      <c r="A438" s="11" t="str">
        <f>_xlfn.XLOOKUP(Tabla15[[#This Row],[GPS]],Hoja3!A:A,Hoja3!B:B)</f>
        <v>CAMIONETA</v>
      </c>
      <c r="B438" s="11" t="str">
        <f>_xlfn.XLOOKUP(GPS!D438,Hoja3!A:A,Hoja3!D:D)</f>
        <v>PETRÓLEO</v>
      </c>
      <c r="C438" s="12" t="str">
        <f>_xlfn.XLOOKUP(Tabla15[[#This Row],[GPS]],Hoja3!A:A,Hoja3!C:C)</f>
        <v>CAMPO CERRILLOS</v>
      </c>
      <c r="D438" s="12" t="s">
        <v>121</v>
      </c>
      <c r="E438" s="13">
        <v>46141</v>
      </c>
      <c r="F438" s="11">
        <v>3.9678</v>
      </c>
      <c r="G438" s="11">
        <v>45.58</v>
      </c>
      <c r="H438" s="11">
        <v>1</v>
      </c>
      <c r="I438" s="11">
        <v>19.4101</v>
      </c>
      <c r="J438" s="11">
        <v>117.4353</v>
      </c>
      <c r="K438" s="11">
        <v>0.5</v>
      </c>
      <c r="L438" s="15">
        <f t="shared" si="6"/>
        <v>5.0644444444444439</v>
      </c>
      <c r="M438" s="14">
        <f>IF(Tabla15[[#This Row],[COMBUSTIBLE]]="PETRÓLEO",L438*$Q$2,L438*$Q$4)</f>
        <v>6082.3977777777773</v>
      </c>
      <c r="N438" s="12" t="str">
        <f>IF(OR(WEEKDAY(Tabla15[[#This Row],[Fecha]],2)=6,WEEKDAY(Tabla15[[#This Row],[Fecha]],2)=7),"Fin de semana","Semana")</f>
        <v>Semana</v>
      </c>
    </row>
    <row r="439" spans="1:14" ht="12.75" customHeight="1" x14ac:dyDescent="0.25">
      <c r="A439" s="11" t="str">
        <f>_xlfn.XLOOKUP(Tabla15[[#This Row],[GPS]],Hoja3!A:A,Hoja3!B:B)</f>
        <v>TRACTOR</v>
      </c>
      <c r="B439" s="11" t="str">
        <f>_xlfn.XLOOKUP(GPS!D439,Hoja3!A:A,Hoja3!D:D)</f>
        <v>PETRÓLEO</v>
      </c>
      <c r="C439" s="12" t="str">
        <f>_xlfn.XLOOKUP(Tabla15[[#This Row],[GPS]],Hoja3!A:A,Hoja3!C:C)</f>
        <v>T8</v>
      </c>
      <c r="D439" s="12" t="s">
        <v>27</v>
      </c>
      <c r="E439" s="13">
        <v>46141</v>
      </c>
      <c r="F439" s="11">
        <v>2.8624999999999998</v>
      </c>
      <c r="G439" s="11">
        <v>15.15</v>
      </c>
      <c r="H439" s="11">
        <v>1</v>
      </c>
      <c r="I439" s="11">
        <v>8.1734000000000009</v>
      </c>
      <c r="J439" s="11">
        <v>66.801599999999993</v>
      </c>
      <c r="K439" s="11">
        <v>0.36</v>
      </c>
      <c r="L439" s="15">
        <f t="shared" si="6"/>
        <v>2.5249999999999999</v>
      </c>
      <c r="M439" s="14">
        <f>IF(Tabla15[[#This Row],[COMBUSTIBLE]]="PETRÓLEO",L439*$Q$2,L439*$Q$4)</f>
        <v>3032.5250000000001</v>
      </c>
      <c r="N439" s="12" t="str">
        <f>IF(OR(WEEKDAY(Tabla15[[#This Row],[Fecha]],2)=6,WEEKDAY(Tabla15[[#This Row],[Fecha]],2)=7),"Fin de semana","Semana")</f>
        <v>Semana</v>
      </c>
    </row>
    <row r="440" spans="1:14" ht="12.75" customHeight="1" x14ac:dyDescent="0.25">
      <c r="A440" s="11" t="str">
        <f>_xlfn.XLOOKUP(Tabla15[[#This Row],[GPS]],Hoja3!A:A,Hoja3!B:B)</f>
        <v>CAMIONETA</v>
      </c>
      <c r="B440" s="11" t="str">
        <f>_xlfn.XLOOKUP(GPS!D440,Hoja3!A:A,Hoja3!D:D)</f>
        <v>PETRÓLEO</v>
      </c>
      <c r="C440" s="12" t="str">
        <f>_xlfn.XLOOKUP(Tabla15[[#This Row],[GPS]],Hoja3!A:A,Hoja3!C:C)</f>
        <v>GONZALO GUERRERO</v>
      </c>
      <c r="D440" s="12" t="s">
        <v>126</v>
      </c>
      <c r="E440" s="13">
        <v>46141</v>
      </c>
      <c r="F440" s="11">
        <v>2.6177999999999999</v>
      </c>
      <c r="G440" s="11">
        <v>61.85</v>
      </c>
      <c r="H440" s="11">
        <v>1</v>
      </c>
      <c r="I440" s="11">
        <v>28.212800000000001</v>
      </c>
      <c r="J440" s="11">
        <v>104.15649999999999</v>
      </c>
      <c r="K440" s="11">
        <v>0.33</v>
      </c>
      <c r="L440" s="15">
        <f t="shared" si="6"/>
        <v>6.8722222222222227</v>
      </c>
      <c r="M440" s="14">
        <f>IF(Tabla15[[#This Row],[COMBUSTIBLE]]="PETRÓLEO",L440*$Q$2,L440*$Q$4)</f>
        <v>8253.5388888888901</v>
      </c>
      <c r="N440" s="12" t="str">
        <f>IF(OR(WEEKDAY(Tabla15[[#This Row],[Fecha]],2)=6,WEEKDAY(Tabla15[[#This Row],[Fecha]],2)=7),"Fin de semana","Semana")</f>
        <v>Semana</v>
      </c>
    </row>
    <row r="441" spans="1:14" ht="12.75" customHeight="1" x14ac:dyDescent="0.25">
      <c r="A441" s="11" t="str">
        <f>_xlfn.XLOOKUP(Tabla15[[#This Row],[GPS]],Hoja3!A:A,Hoja3!B:B)</f>
        <v>CAMIONETA</v>
      </c>
      <c r="B441" s="11" t="str">
        <f>_xlfn.XLOOKUP(GPS!D441,Hoja3!A:A,Hoja3!D:D)</f>
        <v>PETRÓLEO</v>
      </c>
      <c r="C441" s="12" t="str">
        <f>_xlfn.XLOOKUP(Tabla15[[#This Row],[GPS]],Hoja3!A:A,Hoja3!C:C)</f>
        <v>RODRIGO SALINAS</v>
      </c>
      <c r="D441" s="12" t="s">
        <v>109</v>
      </c>
      <c r="E441" s="13">
        <v>46141</v>
      </c>
      <c r="F441" s="11">
        <v>2.6177999999999999</v>
      </c>
      <c r="G441" s="11">
        <v>101.62</v>
      </c>
      <c r="H441" s="11">
        <v>1</v>
      </c>
      <c r="I441" s="11">
        <v>43.952399999999997</v>
      </c>
      <c r="J441" s="11">
        <v>146.73400000000001</v>
      </c>
      <c r="K441" s="11">
        <v>0.33</v>
      </c>
      <c r="L441" s="15">
        <f t="shared" si="6"/>
        <v>11.291111111111112</v>
      </c>
      <c r="M441" s="14">
        <f>IF(Tabla15[[#This Row],[COMBUSTIBLE]]="PETRÓLEO",L441*$Q$2,L441*$Q$4)</f>
        <v>13560.624444444446</v>
      </c>
      <c r="N441" s="12" t="str">
        <f>IF(OR(WEEKDAY(Tabla15[[#This Row],[Fecha]],2)=6,WEEKDAY(Tabla15[[#This Row],[Fecha]],2)=7),"Fin de semana","Semana")</f>
        <v>Semana</v>
      </c>
    </row>
    <row r="442" spans="1:14" ht="12.75" customHeight="1" x14ac:dyDescent="0.25">
      <c r="A442" s="11" t="str">
        <f>_xlfn.XLOOKUP(Tabla15[[#This Row],[GPS]],Hoja3!A:A,Hoja3!B:B)</f>
        <v>CAMIONETA</v>
      </c>
      <c r="B442" s="11" t="str">
        <f>_xlfn.XLOOKUP(GPS!D442,Hoja3!A:A,Hoja3!D:D)</f>
        <v>PETRÓLEO</v>
      </c>
      <c r="C442" s="12" t="str">
        <f>_xlfn.XLOOKUP(Tabla15[[#This Row],[GPS]],Hoja3!A:A,Hoja3!C:C)</f>
        <v>CAMPO RULO</v>
      </c>
      <c r="D442" s="12" t="s">
        <v>135</v>
      </c>
      <c r="E442" s="13">
        <v>46141</v>
      </c>
      <c r="F442" s="11">
        <v>2.5583</v>
      </c>
      <c r="G442" s="11">
        <v>34.869999999999997</v>
      </c>
      <c r="H442" s="11">
        <v>1</v>
      </c>
      <c r="I442" s="11">
        <v>17.355399999999999</v>
      </c>
      <c r="J442" s="11">
        <v>102.7675</v>
      </c>
      <c r="K442" s="11">
        <v>0.32</v>
      </c>
      <c r="L442" s="15">
        <f t="shared" si="6"/>
        <v>3.8744444444444444</v>
      </c>
      <c r="M442" s="14">
        <f>IF(Tabla15[[#This Row],[COMBUSTIBLE]]="PETRÓLEO",L442*$Q$2,L442*$Q$4)</f>
        <v>4653.2077777777777</v>
      </c>
      <c r="N442" s="12" t="str">
        <f>IF(OR(WEEKDAY(Tabla15[[#This Row],[Fecha]],2)=6,WEEKDAY(Tabla15[[#This Row],[Fecha]],2)=7),"Fin de semana","Semana")</f>
        <v>Semana</v>
      </c>
    </row>
    <row r="443" spans="1:14" ht="12.75" customHeight="1" x14ac:dyDescent="0.25">
      <c r="A443" s="11" t="str">
        <f>_xlfn.XLOOKUP(Tabla15[[#This Row],[GPS]],Hoja3!A:A,Hoja3!B:B)</f>
        <v>CAMIONETA</v>
      </c>
      <c r="B443" s="11" t="str">
        <f>_xlfn.XLOOKUP(GPS!D443,Hoja3!A:A,Hoja3!D:D)</f>
        <v>PETRÓLEO</v>
      </c>
      <c r="C443" s="12" t="str">
        <f>_xlfn.XLOOKUP(Tabla15[[#This Row],[GPS]],Hoja3!A:A,Hoja3!C:C)</f>
        <v>CAMPO PAINE</v>
      </c>
      <c r="D443" s="12" t="s">
        <v>131</v>
      </c>
      <c r="E443" s="13">
        <v>46141</v>
      </c>
      <c r="F443" s="11">
        <v>1.9897</v>
      </c>
      <c r="G443" s="11">
        <v>28.99</v>
      </c>
      <c r="H443" s="11">
        <v>1</v>
      </c>
      <c r="I443" s="11">
        <v>18.147600000000001</v>
      </c>
      <c r="J443" s="11">
        <v>87.710700000000003</v>
      </c>
      <c r="K443" s="11">
        <v>0.25</v>
      </c>
      <c r="L443" s="15">
        <f t="shared" si="6"/>
        <v>3.221111111111111</v>
      </c>
      <c r="M443" s="14">
        <f>IF(Tabla15[[#This Row],[COMBUSTIBLE]]="PETRÓLEO",L443*$Q$2,L443*$Q$4)</f>
        <v>3868.5544444444445</v>
      </c>
      <c r="N443" s="12" t="str">
        <f>IF(OR(WEEKDAY(Tabla15[[#This Row],[Fecha]],2)=6,WEEKDAY(Tabla15[[#This Row],[Fecha]],2)=7),"Fin de semana","Semana")</f>
        <v>Semana</v>
      </c>
    </row>
    <row r="444" spans="1:14" ht="12.75" customHeight="1" x14ac:dyDescent="0.25">
      <c r="A444" s="11" t="str">
        <f>_xlfn.XLOOKUP(Tabla15[[#This Row],[GPS]],Hoja3!A:A,Hoja3!B:B)</f>
        <v>TRACTOR</v>
      </c>
      <c r="B444" s="11" t="str">
        <f>_xlfn.XLOOKUP(GPS!D444,Hoja3!A:A,Hoja3!D:D)</f>
        <v>PETRÓLEO</v>
      </c>
      <c r="C444" s="12" t="str">
        <f>_xlfn.XLOOKUP(Tabla15[[#This Row],[GPS]],Hoja3!A:A,Hoja3!C:C)</f>
        <v>T11</v>
      </c>
      <c r="D444" s="12" t="s">
        <v>15</v>
      </c>
      <c r="E444" s="13">
        <v>46141</v>
      </c>
      <c r="F444" s="11">
        <v>0.30280000000000001</v>
      </c>
      <c r="G444" s="11">
        <v>4.1100000000000003</v>
      </c>
      <c r="H444" s="11">
        <v>1</v>
      </c>
      <c r="I444" s="11">
        <v>9.1338000000000008</v>
      </c>
      <c r="J444" s="11">
        <v>24.242699999999999</v>
      </c>
      <c r="K444" s="11">
        <v>0.04</v>
      </c>
      <c r="L444" s="15">
        <f t="shared" si="6"/>
        <v>0.68500000000000005</v>
      </c>
      <c r="M444" s="14">
        <f>IF(Tabla15[[#This Row],[COMBUSTIBLE]]="PETRÓLEO",L444*$Q$2,L444*$Q$4)</f>
        <v>822.68500000000006</v>
      </c>
      <c r="N444" s="12" t="str">
        <f>IF(OR(WEEKDAY(Tabla15[[#This Row],[Fecha]],2)=6,WEEKDAY(Tabla15[[#This Row],[Fecha]],2)=7),"Fin de semana","Semana")</f>
        <v>Semana</v>
      </c>
    </row>
    <row r="445" spans="1:14" ht="12.75" customHeight="1" x14ac:dyDescent="0.25">
      <c r="A445" s="11" t="str">
        <f>_xlfn.XLOOKUP(Tabla15[[#This Row],[GPS]],Hoja3!A:A,Hoja3!B:B)</f>
        <v>TRACTOR</v>
      </c>
      <c r="B445" s="11" t="str">
        <f>_xlfn.XLOOKUP(GPS!D445,Hoja3!A:A,Hoja3!D:D)</f>
        <v>PETRÓLEO</v>
      </c>
      <c r="C445" s="12" t="str">
        <f>_xlfn.XLOOKUP(Tabla15[[#This Row],[GPS]],Hoja3!A:A,Hoja3!C:C)</f>
        <v>T12</v>
      </c>
      <c r="D445" s="12" t="s">
        <v>17</v>
      </c>
      <c r="E445" s="13">
        <v>46141</v>
      </c>
      <c r="F445" s="11">
        <v>0.2031</v>
      </c>
      <c r="G445" s="11">
        <v>1.85</v>
      </c>
      <c r="H445" s="11">
        <v>1</v>
      </c>
      <c r="I445" s="11">
        <v>9.3792000000000009</v>
      </c>
      <c r="J445" s="11">
        <v>22.020299999999999</v>
      </c>
      <c r="K445" s="11">
        <v>0.03</v>
      </c>
      <c r="L445" s="15">
        <f t="shared" si="6"/>
        <v>0.30833333333333335</v>
      </c>
      <c r="M445" s="14">
        <f>IF(Tabla15[[#This Row],[COMBUSTIBLE]]="PETRÓLEO",L445*$Q$2,L445*$Q$4)</f>
        <v>370.30833333333334</v>
      </c>
      <c r="N445" s="12" t="str">
        <f>IF(OR(WEEKDAY(Tabla15[[#This Row],[Fecha]],2)=6,WEEKDAY(Tabla15[[#This Row],[Fecha]],2)=7),"Fin de semana","Semana")</f>
        <v>Semana</v>
      </c>
    </row>
    <row r="446" spans="1:14" ht="12.75" customHeight="1" x14ac:dyDescent="0.25">
      <c r="A446" s="11" t="str">
        <f>_xlfn.XLOOKUP(Tabla15[[#This Row],[GPS]],Hoja3!A:A,Hoja3!B:B)</f>
        <v>TRACTOR</v>
      </c>
      <c r="B446" s="11" t="str">
        <f>_xlfn.XLOOKUP(GPS!D446,Hoja3!A:A,Hoja3!D:D)</f>
        <v>PETRÓLEO</v>
      </c>
      <c r="C446" s="12" t="str">
        <f>_xlfn.XLOOKUP(Tabla15[[#This Row],[GPS]],Hoja3!A:A,Hoja3!C:C)</f>
        <v>T10</v>
      </c>
      <c r="D446" s="12" t="s">
        <v>14</v>
      </c>
      <c r="E446" s="13">
        <v>46141</v>
      </c>
      <c r="F446" s="11">
        <v>2.0299999999999999E-2</v>
      </c>
      <c r="G446" s="11">
        <v>0.05</v>
      </c>
      <c r="H446" s="11">
        <v>0</v>
      </c>
      <c r="I446" s="11">
        <v>3.0383</v>
      </c>
      <c r="J446" s="11">
        <v>14.630800000000001</v>
      </c>
      <c r="K446" s="11">
        <v>0</v>
      </c>
      <c r="L446" s="15">
        <f t="shared" si="6"/>
        <v>8.3333333333333332E-3</v>
      </c>
      <c r="M446" s="14">
        <f>IF(Tabla15[[#This Row],[COMBUSTIBLE]]="PETRÓLEO",L446*$Q$2,L446*$Q$4)</f>
        <v>10.008333333333333</v>
      </c>
      <c r="N446" s="12" t="str">
        <f>IF(OR(WEEKDAY(Tabla15[[#This Row],[Fecha]],2)=6,WEEKDAY(Tabla15[[#This Row],[Fecha]],2)=7),"Fin de semana","Semana")</f>
        <v>Semana</v>
      </c>
    </row>
    <row r="447" spans="1:14" ht="12.75" customHeight="1" x14ac:dyDescent="0.25">
      <c r="A447" s="11" t="str">
        <f>_xlfn.XLOOKUP(Tabla15[[#This Row],[GPS]],Hoja3!A:A,Hoja3!B:B)</f>
        <v>CAMIONETA</v>
      </c>
      <c r="B447" s="11" t="str">
        <f>_xlfn.XLOOKUP(GPS!D447,Hoja3!A:A,Hoja3!D:D)</f>
        <v>BENCINA</v>
      </c>
      <c r="C447" s="12" t="str">
        <f>_xlfn.XLOOKUP(Tabla15[[#This Row],[GPS]],Hoja3!A:A,Hoja3!C:C)</f>
        <v>VG CERRILLOS</v>
      </c>
      <c r="D447" s="12" t="s">
        <v>137</v>
      </c>
      <c r="E447" s="13">
        <v>46141</v>
      </c>
      <c r="F447" s="11">
        <v>0</v>
      </c>
      <c r="G447" s="11">
        <v>32.89</v>
      </c>
      <c r="H447" s="11">
        <v>1</v>
      </c>
      <c r="I447" s="11">
        <v>12.489699999999999</v>
      </c>
      <c r="J447" s="11">
        <v>37.188200000000002</v>
      </c>
      <c r="K447" s="11">
        <v>0</v>
      </c>
      <c r="L447" s="15">
        <f t="shared" si="6"/>
        <v>2.99</v>
      </c>
      <c r="M447" s="14">
        <f>IF(Tabla15[[#This Row],[COMBUSTIBLE]]="PETRÓLEO",L447*$Q$2,L447*$Q$4)</f>
        <v>4634.5</v>
      </c>
      <c r="N447" s="12" t="str">
        <f>IF(OR(WEEKDAY(Tabla15[[#This Row],[Fecha]],2)=6,WEEKDAY(Tabla15[[#This Row],[Fecha]],2)=7),"Fin de semana","Semana")</f>
        <v>Semana</v>
      </c>
    </row>
    <row r="448" spans="1:14" ht="12.75" customHeight="1" x14ac:dyDescent="0.25">
      <c r="A448" s="11" t="str">
        <f>_xlfn.XLOOKUP(Tabla15[[#This Row],[GPS]],Hoja3!A:A,Hoja3!B:B)</f>
        <v>CAMIONETA</v>
      </c>
      <c r="B448" s="11" t="str">
        <f>_xlfn.XLOOKUP(GPS!D448,Hoja3!A:A,Hoja3!D:D)</f>
        <v>BENCINA</v>
      </c>
      <c r="C448" s="12" t="str">
        <f>_xlfn.XLOOKUP(Tabla15[[#This Row],[GPS]],Hoja3!A:A,Hoja3!C:C)</f>
        <v>VG PIÑALEO</v>
      </c>
      <c r="D448" s="12" t="s">
        <v>114</v>
      </c>
      <c r="E448" s="13">
        <v>46141</v>
      </c>
      <c r="F448" s="11">
        <v>0</v>
      </c>
      <c r="G448" s="11">
        <v>59.65</v>
      </c>
      <c r="H448" s="11">
        <v>1</v>
      </c>
      <c r="I448" s="11">
        <v>37.900199999999998</v>
      </c>
      <c r="J448" s="11">
        <v>100</v>
      </c>
      <c r="K448" s="11">
        <v>0</v>
      </c>
      <c r="L448" s="15">
        <f t="shared" si="6"/>
        <v>5.4227272727272728</v>
      </c>
      <c r="M448" s="14">
        <f>IF(Tabla15[[#This Row],[COMBUSTIBLE]]="PETRÓLEO",L448*$Q$2,L448*$Q$4)</f>
        <v>8405.2272727272721</v>
      </c>
      <c r="N448" s="12" t="str">
        <f>IF(OR(WEEKDAY(Tabla15[[#This Row],[Fecha]],2)=6,WEEKDAY(Tabla15[[#This Row],[Fecha]],2)=7),"Fin de semana","Semana")</f>
        <v>Semana</v>
      </c>
    </row>
    <row r="449" spans="1:14" ht="12.75" customHeight="1" x14ac:dyDescent="0.25">
      <c r="A449" s="11" t="str">
        <f>_xlfn.XLOOKUP(Tabla15[[#This Row],[GPS]],Hoja3!A:A,Hoja3!B:B)</f>
        <v>CAMIONETA</v>
      </c>
      <c r="B449" s="11" t="str">
        <f>_xlfn.XLOOKUP(GPS!D449,Hoja3!A:A,Hoja3!D:D)</f>
        <v>BENCINA</v>
      </c>
      <c r="C449" s="12" t="str">
        <f>_xlfn.XLOOKUP(Tabla15[[#This Row],[GPS]],Hoja3!A:A,Hoja3!C:C)</f>
        <v>VG GERARDO</v>
      </c>
      <c r="D449" s="12" t="s">
        <v>118</v>
      </c>
      <c r="E449" s="13">
        <v>46141</v>
      </c>
      <c r="F449" s="11">
        <v>0</v>
      </c>
      <c r="G449" s="11">
        <v>60.23</v>
      </c>
      <c r="H449" s="11">
        <v>1</v>
      </c>
      <c r="I449" s="11">
        <v>29.839200000000002</v>
      </c>
      <c r="J449" s="11">
        <v>93.451899999999995</v>
      </c>
      <c r="K449" s="11">
        <v>0</v>
      </c>
      <c r="L449" s="15">
        <f t="shared" si="6"/>
        <v>5.4754545454545456</v>
      </c>
      <c r="M449" s="14">
        <f>IF(Tabla15[[#This Row],[COMBUSTIBLE]]="PETRÓLEO",L449*$Q$2,L449*$Q$4)</f>
        <v>8486.954545454546</v>
      </c>
      <c r="N449" s="12" t="str">
        <f>IF(OR(WEEKDAY(Tabla15[[#This Row],[Fecha]],2)=6,WEEKDAY(Tabla15[[#This Row],[Fecha]],2)=7),"Fin de semana","Semana")</f>
        <v>Semana</v>
      </c>
    </row>
    <row r="450" spans="1:14" ht="12.75" customHeight="1" x14ac:dyDescent="0.25">
      <c r="A450" s="11" t="str">
        <f>_xlfn.XLOOKUP(Tabla15[[#This Row],[GPS]],Hoja3!A:A,Hoja3!B:B)</f>
        <v>CAMIONETA</v>
      </c>
      <c r="B450" s="11" t="str">
        <f>_xlfn.XLOOKUP(GPS!D450,Hoja3!A:A,Hoja3!D:D)</f>
        <v>PETRÓLEO</v>
      </c>
      <c r="C450" s="12" t="str">
        <f>_xlfn.XLOOKUP(Tabla15[[#This Row],[GPS]],Hoja3!A:A,Hoja3!C:C)</f>
        <v>SERGIO ROJAS</v>
      </c>
      <c r="D450" s="12" t="s">
        <v>128</v>
      </c>
      <c r="E450" s="13">
        <v>46141</v>
      </c>
      <c r="F450" s="11">
        <v>0</v>
      </c>
      <c r="G450" s="11">
        <v>39.71</v>
      </c>
      <c r="H450" s="11">
        <v>1</v>
      </c>
      <c r="I450" s="11">
        <v>22.457699999999999</v>
      </c>
      <c r="J450" s="11">
        <v>84.000100000000003</v>
      </c>
      <c r="K450" s="11">
        <v>0</v>
      </c>
      <c r="L450" s="15">
        <f t="shared" ref="L450:L513" si="7">IF(AND(A450="CAMIONETA",B450="BENCINA"),G450/$Q$5,IF(A450="TRACTOR",G450/$Q$3,G450/$Q$1))</f>
        <v>4.4122222222222227</v>
      </c>
      <c r="M450" s="14">
        <f>IF(Tabla15[[#This Row],[COMBUSTIBLE]]="PETRÓLEO",L450*$Q$2,L450*$Q$4)</f>
        <v>5299.0788888888892</v>
      </c>
      <c r="N450" s="12" t="str">
        <f>IF(OR(WEEKDAY(Tabla15[[#This Row],[Fecha]],2)=6,WEEKDAY(Tabla15[[#This Row],[Fecha]],2)=7),"Fin de semana","Semana")</f>
        <v>Semana</v>
      </c>
    </row>
    <row r="451" spans="1:14" ht="12.75" customHeight="1" x14ac:dyDescent="0.25">
      <c r="A451" s="11" t="str">
        <f>_xlfn.XLOOKUP(Tabla15[[#This Row],[GPS]],Hoja3!A:A,Hoja3!B:B)</f>
        <v>TRACTOR</v>
      </c>
      <c r="B451" s="11" t="str">
        <f>_xlfn.XLOOKUP(GPS!D451,Hoja3!A:A,Hoja3!D:D)</f>
        <v>PETRÓLEO</v>
      </c>
      <c r="C451" s="12" t="str">
        <f>_xlfn.XLOOKUP(Tabla15[[#This Row],[GPS]],Hoja3!A:A,Hoja3!C:C)</f>
        <v>T9</v>
      </c>
      <c r="D451" s="12" t="s">
        <v>28</v>
      </c>
      <c r="E451" s="13">
        <v>46142</v>
      </c>
      <c r="F451" s="11">
        <v>6.7186000000000003</v>
      </c>
      <c r="G451" s="11">
        <v>27.24</v>
      </c>
      <c r="H451" s="11">
        <v>1</v>
      </c>
      <c r="I451" s="11">
        <v>5.8247999999999998</v>
      </c>
      <c r="J451" s="11">
        <v>20.464600000000001</v>
      </c>
      <c r="K451" s="11">
        <v>0.84</v>
      </c>
      <c r="L451" s="15">
        <f t="shared" si="7"/>
        <v>4.54</v>
      </c>
      <c r="M451" s="14">
        <f>IF(Tabla15[[#This Row],[COMBUSTIBLE]]="PETRÓLEO",L451*$Q$2,L451*$Q$4)</f>
        <v>5452.54</v>
      </c>
      <c r="N451" s="12" t="str">
        <f>IF(OR(WEEKDAY(Tabla15[[#This Row],[Fecha]],2)=6,WEEKDAY(Tabla15[[#This Row],[Fecha]],2)=7),"Fin de semana","Semana")</f>
        <v>Semana</v>
      </c>
    </row>
    <row r="452" spans="1:14" ht="12.75" customHeight="1" x14ac:dyDescent="0.25">
      <c r="A452" s="11" t="str">
        <f>_xlfn.XLOOKUP(Tabla15[[#This Row],[GPS]],Hoja3!A:A,Hoja3!B:B)</f>
        <v>TRACTOR</v>
      </c>
      <c r="B452" s="11" t="str">
        <f>_xlfn.XLOOKUP(GPS!D452,Hoja3!A:A,Hoja3!D:D)</f>
        <v>PETRÓLEO</v>
      </c>
      <c r="C452" s="12" t="str">
        <f>_xlfn.XLOOKUP(Tabla15[[#This Row],[GPS]],Hoja3!A:A,Hoja3!C:C)</f>
        <v>T7</v>
      </c>
      <c r="D452" s="12" t="s">
        <v>26</v>
      </c>
      <c r="E452" s="13">
        <v>46142</v>
      </c>
      <c r="F452" s="11">
        <v>6.7167000000000003</v>
      </c>
      <c r="G452" s="11">
        <v>15.95</v>
      </c>
      <c r="H452" s="11">
        <v>1</v>
      </c>
      <c r="I452" s="11">
        <v>4.4169</v>
      </c>
      <c r="J452" s="11">
        <v>114.861</v>
      </c>
      <c r="K452" s="11">
        <v>0.84</v>
      </c>
      <c r="L452" s="15">
        <f t="shared" si="7"/>
        <v>2.6583333333333332</v>
      </c>
      <c r="M452" s="14">
        <f>IF(Tabla15[[#This Row],[COMBUSTIBLE]]="PETRÓLEO",L452*$Q$2,L452*$Q$4)</f>
        <v>3192.6583333333333</v>
      </c>
      <c r="N452" s="12" t="str">
        <f>IF(OR(WEEKDAY(Tabla15[[#This Row],[Fecha]],2)=6,WEEKDAY(Tabla15[[#This Row],[Fecha]],2)=7),"Fin de semana","Semana")</f>
        <v>Semana</v>
      </c>
    </row>
    <row r="453" spans="1:14" ht="12.75" customHeight="1" x14ac:dyDescent="0.25">
      <c r="A453" s="11" t="str">
        <f>_xlfn.XLOOKUP(Tabla15[[#This Row],[GPS]],Hoja3!A:A,Hoja3!B:B)</f>
        <v>TRACTOR</v>
      </c>
      <c r="B453" s="11" t="str">
        <f>_xlfn.XLOOKUP(GPS!D453,Hoja3!A:A,Hoja3!D:D)</f>
        <v>PETRÓLEO</v>
      </c>
      <c r="C453" s="12" t="str">
        <f>_xlfn.XLOOKUP(Tabla15[[#This Row],[GPS]],Hoja3!A:A,Hoja3!C:C)</f>
        <v>T6</v>
      </c>
      <c r="D453" s="12" t="s">
        <v>25</v>
      </c>
      <c r="E453" s="13">
        <v>46142</v>
      </c>
      <c r="F453" s="11">
        <v>6.4249999999999998</v>
      </c>
      <c r="G453" s="11">
        <v>22.19</v>
      </c>
      <c r="H453" s="11">
        <v>1</v>
      </c>
      <c r="I453" s="11">
        <v>5.4038000000000004</v>
      </c>
      <c r="J453" s="11">
        <v>20.057200000000002</v>
      </c>
      <c r="K453" s="11">
        <v>0.8</v>
      </c>
      <c r="L453" s="15">
        <f t="shared" si="7"/>
        <v>3.6983333333333337</v>
      </c>
      <c r="M453" s="14">
        <f>IF(Tabla15[[#This Row],[COMBUSTIBLE]]="PETRÓLEO",L453*$Q$2,L453*$Q$4)</f>
        <v>4441.6983333333337</v>
      </c>
      <c r="N453" s="12" t="str">
        <f>IF(OR(WEEKDAY(Tabla15[[#This Row],[Fecha]],2)=6,WEEKDAY(Tabla15[[#This Row],[Fecha]],2)=7),"Fin de semana","Semana")</f>
        <v>Semana</v>
      </c>
    </row>
    <row r="454" spans="1:14" ht="12.75" customHeight="1" x14ac:dyDescent="0.25">
      <c r="A454" s="11" t="str">
        <f>_xlfn.XLOOKUP(Tabla15[[#This Row],[GPS]],Hoja3!A:A,Hoja3!B:B)</f>
        <v>CAMIONETA</v>
      </c>
      <c r="B454" s="11" t="str">
        <f>_xlfn.XLOOKUP(GPS!D454,Hoja3!A:A,Hoja3!D:D)</f>
        <v>PETRÓLEO</v>
      </c>
      <c r="C454" s="12" t="str">
        <f>_xlfn.XLOOKUP(Tabla15[[#This Row],[GPS]],Hoja3!A:A,Hoja3!C:C)</f>
        <v>CAMPO PAINE</v>
      </c>
      <c r="D454" s="12" t="s">
        <v>131</v>
      </c>
      <c r="E454" s="13">
        <v>46142</v>
      </c>
      <c r="F454" s="11">
        <v>5.2350000000000003</v>
      </c>
      <c r="G454" s="11">
        <v>130.93</v>
      </c>
      <c r="H454" s="11">
        <v>1</v>
      </c>
      <c r="I454" s="11">
        <v>23.314599999999999</v>
      </c>
      <c r="J454" s="11">
        <v>198.97890000000001</v>
      </c>
      <c r="K454" s="11">
        <v>0.65</v>
      </c>
      <c r="L454" s="15">
        <f t="shared" si="7"/>
        <v>14.547777777777778</v>
      </c>
      <c r="M454" s="14">
        <f>IF(Tabla15[[#This Row],[COMBUSTIBLE]]="PETRÓLEO",L454*$Q$2,L454*$Q$4)</f>
        <v>17471.88111111111</v>
      </c>
      <c r="N454" s="12" t="str">
        <f>IF(OR(WEEKDAY(Tabla15[[#This Row],[Fecha]],2)=6,WEEKDAY(Tabla15[[#This Row],[Fecha]],2)=7),"Fin de semana","Semana")</f>
        <v>Semana</v>
      </c>
    </row>
    <row r="455" spans="1:14" ht="12.75" customHeight="1" x14ac:dyDescent="0.25">
      <c r="A455" s="11" t="str">
        <f>_xlfn.XLOOKUP(Tabla15[[#This Row],[GPS]],Hoja3!A:A,Hoja3!B:B)</f>
        <v>TRACTOR</v>
      </c>
      <c r="B455" s="11" t="str">
        <f>_xlfn.XLOOKUP(GPS!D455,Hoja3!A:A,Hoja3!D:D)</f>
        <v>PETRÓLEO</v>
      </c>
      <c r="C455" s="12" t="str">
        <f>_xlfn.XLOOKUP(Tabla15[[#This Row],[GPS]],Hoja3!A:A,Hoja3!C:C)</f>
        <v>T13</v>
      </c>
      <c r="D455" s="12" t="s">
        <v>19</v>
      </c>
      <c r="E455" s="13">
        <v>46142</v>
      </c>
      <c r="F455" s="11">
        <v>4.8930999999999996</v>
      </c>
      <c r="G455" s="11">
        <v>17.84</v>
      </c>
      <c r="H455" s="11">
        <v>1</v>
      </c>
      <c r="I455" s="11">
        <v>5.7958999999999996</v>
      </c>
      <c r="J455" s="11">
        <v>25.742799999999999</v>
      </c>
      <c r="K455" s="11">
        <v>0.61</v>
      </c>
      <c r="L455" s="15">
        <f t="shared" si="7"/>
        <v>2.9733333333333332</v>
      </c>
      <c r="M455" s="14">
        <f>IF(Tabla15[[#This Row],[COMBUSTIBLE]]="PETRÓLEO",L455*$Q$2,L455*$Q$4)</f>
        <v>3570.9733333333329</v>
      </c>
      <c r="N455" s="12" t="str">
        <f>IF(OR(WEEKDAY(Tabla15[[#This Row],[Fecha]],2)=6,WEEKDAY(Tabla15[[#This Row],[Fecha]],2)=7),"Fin de semana","Semana")</f>
        <v>Semana</v>
      </c>
    </row>
    <row r="456" spans="1:14" ht="12.75" customHeight="1" x14ac:dyDescent="0.25">
      <c r="A456" s="11" t="str">
        <f>_xlfn.XLOOKUP(Tabla15[[#This Row],[GPS]],Hoja3!A:A,Hoja3!B:B)</f>
        <v>CAMIONETA</v>
      </c>
      <c r="B456" s="11" t="str">
        <f>_xlfn.XLOOKUP(GPS!D456,Hoja3!A:A,Hoja3!D:D)</f>
        <v>PETRÓLEO</v>
      </c>
      <c r="C456" s="12" t="str">
        <f>_xlfn.XLOOKUP(Tabla15[[#This Row],[GPS]],Hoja3!A:A,Hoja3!C:C)</f>
        <v>CAMPO CERRILLOS</v>
      </c>
      <c r="D456" s="12" t="s">
        <v>121</v>
      </c>
      <c r="E456" s="13">
        <v>46142</v>
      </c>
      <c r="F456" s="11">
        <v>4.6356000000000002</v>
      </c>
      <c r="G456" s="11">
        <v>38.369999999999997</v>
      </c>
      <c r="H456" s="11">
        <v>1</v>
      </c>
      <c r="I456" s="11">
        <v>15.4793</v>
      </c>
      <c r="J456" s="11">
        <v>57.652799999999999</v>
      </c>
      <c r="K456" s="11">
        <v>0.57999999999999996</v>
      </c>
      <c r="L456" s="15">
        <f t="shared" si="7"/>
        <v>4.2633333333333328</v>
      </c>
      <c r="M456" s="14">
        <f>IF(Tabla15[[#This Row],[COMBUSTIBLE]]="PETRÓLEO",L456*$Q$2,L456*$Q$4)</f>
        <v>5120.2633333333324</v>
      </c>
      <c r="N456" s="12" t="str">
        <f>IF(OR(WEEKDAY(Tabla15[[#This Row],[Fecha]],2)=6,WEEKDAY(Tabla15[[#This Row],[Fecha]],2)=7),"Fin de semana","Semana")</f>
        <v>Semana</v>
      </c>
    </row>
    <row r="457" spans="1:14" ht="12.75" customHeight="1" x14ac:dyDescent="0.25">
      <c r="A457" s="11" t="str">
        <f>_xlfn.XLOOKUP(Tabla15[[#This Row],[GPS]],Hoja3!A:A,Hoja3!B:B)</f>
        <v>CAMIONETA</v>
      </c>
      <c r="B457" s="11" t="str">
        <f>_xlfn.XLOOKUP(GPS!D457,Hoja3!A:A,Hoja3!D:D)</f>
        <v>PETRÓLEO</v>
      </c>
      <c r="C457" s="12" t="str">
        <f>_xlfn.XLOOKUP(Tabla15[[#This Row],[GPS]],Hoja3!A:A,Hoja3!C:C)</f>
        <v>RODRIGO SALINAS</v>
      </c>
      <c r="D457" s="12" t="s">
        <v>109</v>
      </c>
      <c r="E457" s="13">
        <v>46142</v>
      </c>
      <c r="F457" s="11">
        <v>3.7006000000000001</v>
      </c>
      <c r="G457" s="11">
        <v>129.9</v>
      </c>
      <c r="H457" s="11">
        <v>1</v>
      </c>
      <c r="I457" s="11">
        <v>41.706000000000003</v>
      </c>
      <c r="J457" s="11">
        <v>188.32990000000001</v>
      </c>
      <c r="K457" s="11">
        <v>0.46</v>
      </c>
      <c r="L457" s="15">
        <f t="shared" si="7"/>
        <v>14.433333333333334</v>
      </c>
      <c r="M457" s="14">
        <f>IF(Tabla15[[#This Row],[COMBUSTIBLE]]="PETRÓLEO",L457*$Q$2,L457*$Q$4)</f>
        <v>17334.433333333334</v>
      </c>
      <c r="N457" s="12" t="str">
        <f>IF(OR(WEEKDAY(Tabla15[[#This Row],[Fecha]],2)=6,WEEKDAY(Tabla15[[#This Row],[Fecha]],2)=7),"Fin de semana","Semana")</f>
        <v>Semana</v>
      </c>
    </row>
    <row r="458" spans="1:14" ht="12.75" customHeight="1" x14ac:dyDescent="0.25">
      <c r="A458" s="11" t="str">
        <f>_xlfn.XLOOKUP(Tabla15[[#This Row],[GPS]],Hoja3!A:A,Hoja3!B:B)</f>
        <v>TRACTOR</v>
      </c>
      <c r="B458" s="11" t="str">
        <f>_xlfn.XLOOKUP(GPS!D458,Hoja3!A:A,Hoja3!D:D)</f>
        <v>PETRÓLEO</v>
      </c>
      <c r="C458" s="12" t="str">
        <f>_xlfn.XLOOKUP(Tabla15[[#This Row],[GPS]],Hoja3!A:A,Hoja3!C:C)</f>
        <v>T4</v>
      </c>
      <c r="D458" s="12" t="s">
        <v>23</v>
      </c>
      <c r="E458" s="13">
        <v>46142</v>
      </c>
      <c r="F458" s="11">
        <v>3.6118999999999999</v>
      </c>
      <c r="G458" s="11">
        <v>31.25</v>
      </c>
      <c r="H458" s="11">
        <v>1</v>
      </c>
      <c r="I458" s="11">
        <v>10.218400000000001</v>
      </c>
      <c r="J458" s="11">
        <v>38.6327</v>
      </c>
      <c r="K458" s="11">
        <v>0.45</v>
      </c>
      <c r="L458" s="15">
        <f t="shared" si="7"/>
        <v>5.208333333333333</v>
      </c>
      <c r="M458" s="14">
        <f>IF(Tabla15[[#This Row],[COMBUSTIBLE]]="PETRÓLEO",L458*$Q$2,L458*$Q$4)</f>
        <v>6255.208333333333</v>
      </c>
      <c r="N458" s="12" t="str">
        <f>IF(OR(WEEKDAY(Tabla15[[#This Row],[Fecha]],2)=6,WEEKDAY(Tabla15[[#This Row],[Fecha]],2)=7),"Fin de semana","Semana")</f>
        <v>Semana</v>
      </c>
    </row>
    <row r="459" spans="1:14" ht="12.75" customHeight="1" x14ac:dyDescent="0.25">
      <c r="A459" s="11" t="str">
        <f>_xlfn.XLOOKUP(Tabla15[[#This Row],[GPS]],Hoja3!A:A,Hoja3!B:B)</f>
        <v>CAMIONETA</v>
      </c>
      <c r="B459" s="11" t="str">
        <f>_xlfn.XLOOKUP(GPS!D459,Hoja3!A:A,Hoja3!D:D)</f>
        <v>PETRÓLEO</v>
      </c>
      <c r="C459" s="12" t="str">
        <f>_xlfn.XLOOKUP(Tabla15[[#This Row],[GPS]],Hoja3!A:A,Hoja3!C:C)</f>
        <v>RODRIGO SALINAS</v>
      </c>
      <c r="D459" s="12" t="s">
        <v>109</v>
      </c>
      <c r="E459" s="13">
        <v>46143</v>
      </c>
      <c r="F459" s="11">
        <v>2.9661</v>
      </c>
      <c r="G459" s="11">
        <v>121.85</v>
      </c>
      <c r="H459" s="11">
        <v>1</v>
      </c>
      <c r="I459" s="11">
        <v>45.532899999999998</v>
      </c>
      <c r="J459" s="11">
        <v>198.25659999999999</v>
      </c>
      <c r="K459" s="11">
        <v>0.37</v>
      </c>
      <c r="L459" s="15">
        <f t="shared" si="7"/>
        <v>13.538888888888888</v>
      </c>
      <c r="M459" s="14">
        <f>IF(Tabla15[[#This Row],[COMBUSTIBLE]]="PETRÓLEO",L459*$Q$2,L459*$Q$4)</f>
        <v>16260.205555555554</v>
      </c>
      <c r="N459" s="12" t="str">
        <f>IF(OR(WEEKDAY(Tabla15[[#This Row],[Fecha]],2)=6,WEEKDAY(Tabla15[[#This Row],[Fecha]],2)=7),"Fin de semana","Semana")</f>
        <v>Semana</v>
      </c>
    </row>
    <row r="460" spans="1:14" ht="12.75" customHeight="1" x14ac:dyDescent="0.25">
      <c r="A460" s="11" t="str">
        <f>_xlfn.XLOOKUP(Tabla15[[#This Row],[GPS]],Hoja3!A:A,Hoja3!B:B)</f>
        <v>CAMIONETA</v>
      </c>
      <c r="B460" s="11" t="str">
        <f>_xlfn.XLOOKUP(GPS!D460,Hoja3!A:A,Hoja3!D:D)</f>
        <v>PETRÓLEO</v>
      </c>
      <c r="C460" s="12" t="str">
        <f>_xlfn.XLOOKUP(Tabla15[[#This Row],[GPS]],Hoja3!A:A,Hoja3!C:C)</f>
        <v>GONZALO GUERRERO</v>
      </c>
      <c r="D460" s="12" t="s">
        <v>126</v>
      </c>
      <c r="E460" s="13">
        <v>46142</v>
      </c>
      <c r="F460" s="11">
        <v>2.8378000000000001</v>
      </c>
      <c r="G460" s="11">
        <v>49.55</v>
      </c>
      <c r="H460" s="11">
        <v>1</v>
      </c>
      <c r="I460" s="11">
        <v>27.7224</v>
      </c>
      <c r="J460" s="11">
        <v>115.0001</v>
      </c>
      <c r="K460" s="11">
        <v>0.35</v>
      </c>
      <c r="L460" s="15">
        <f t="shared" si="7"/>
        <v>5.5055555555555555</v>
      </c>
      <c r="M460" s="14">
        <f>IF(Tabla15[[#This Row],[COMBUSTIBLE]]="PETRÓLEO",L460*$Q$2,L460*$Q$4)</f>
        <v>6612.1722222222224</v>
      </c>
      <c r="N460" s="12" t="str">
        <f>IF(OR(WEEKDAY(Tabla15[[#This Row],[Fecha]],2)=6,WEEKDAY(Tabla15[[#This Row],[Fecha]],2)=7),"Fin de semana","Semana")</f>
        <v>Semana</v>
      </c>
    </row>
    <row r="461" spans="1:14" ht="12.75" customHeight="1" x14ac:dyDescent="0.25">
      <c r="A461" s="11" t="str">
        <f>_xlfn.XLOOKUP(Tabla15[[#This Row],[GPS]],Hoja3!A:A,Hoja3!B:B)</f>
        <v>CAMIONETA</v>
      </c>
      <c r="B461" s="11" t="str">
        <f>_xlfn.XLOOKUP(GPS!D461,Hoja3!A:A,Hoja3!D:D)</f>
        <v>PETRÓLEO</v>
      </c>
      <c r="C461" s="12" t="str">
        <f>_xlfn.XLOOKUP(Tabla15[[#This Row],[GPS]],Hoja3!A:A,Hoja3!C:C)</f>
        <v>CAMPO RULO</v>
      </c>
      <c r="D461" s="12" t="s">
        <v>135</v>
      </c>
      <c r="E461" s="13">
        <v>46142</v>
      </c>
      <c r="F461" s="11">
        <v>2.7418999999999998</v>
      </c>
      <c r="G461" s="11">
        <v>50.03</v>
      </c>
      <c r="H461" s="11">
        <v>1</v>
      </c>
      <c r="I461" s="11">
        <v>20.224499999999999</v>
      </c>
      <c r="J461" s="11">
        <v>77.999899999999997</v>
      </c>
      <c r="K461" s="11">
        <v>0.34</v>
      </c>
      <c r="L461" s="15">
        <f t="shared" si="7"/>
        <v>5.5588888888888892</v>
      </c>
      <c r="M461" s="14">
        <f>IF(Tabla15[[#This Row],[COMBUSTIBLE]]="PETRÓLEO",L461*$Q$2,L461*$Q$4)</f>
        <v>6676.2255555555557</v>
      </c>
      <c r="N461" s="12" t="str">
        <f>IF(OR(WEEKDAY(Tabla15[[#This Row],[Fecha]],2)=6,WEEKDAY(Tabla15[[#This Row],[Fecha]],2)=7),"Fin de semana","Semana")</f>
        <v>Semana</v>
      </c>
    </row>
    <row r="462" spans="1:14" ht="12.75" customHeight="1" x14ac:dyDescent="0.25">
      <c r="A462" s="11" t="str">
        <f>_xlfn.XLOOKUP(Tabla15[[#This Row],[GPS]],Hoja3!A:A,Hoja3!B:B)</f>
        <v>CAMIONETA</v>
      </c>
      <c r="B462" s="11" t="str">
        <f>_xlfn.XLOOKUP(GPS!D462,Hoja3!A:A,Hoja3!D:D)</f>
        <v>PETRÓLEO</v>
      </c>
      <c r="C462" s="12" t="str">
        <f>_xlfn.XLOOKUP(Tabla15[[#This Row],[GPS]],Hoja3!A:A,Hoja3!C:C)</f>
        <v>CAMPO PAINE</v>
      </c>
      <c r="D462" s="12" t="s">
        <v>131</v>
      </c>
      <c r="E462" s="13">
        <v>46145</v>
      </c>
      <c r="F462" s="11">
        <v>1.8864000000000001</v>
      </c>
      <c r="G462" s="11">
        <v>32.08</v>
      </c>
      <c r="H462" s="11">
        <v>1</v>
      </c>
      <c r="I462" s="11">
        <v>28.09</v>
      </c>
      <c r="J462" s="11">
        <v>87.000100000000003</v>
      </c>
      <c r="K462" s="11">
        <v>0.24</v>
      </c>
      <c r="L462" s="15">
        <f t="shared" si="7"/>
        <v>3.5644444444444443</v>
      </c>
      <c r="M462" s="14">
        <f>IF(Tabla15[[#This Row],[COMBUSTIBLE]]="PETRÓLEO",L462*$Q$2,L462*$Q$4)</f>
        <v>4280.8977777777773</v>
      </c>
      <c r="N462" s="12" t="str">
        <f>IF(OR(WEEKDAY(Tabla15[[#This Row],[Fecha]],2)=6,WEEKDAY(Tabla15[[#This Row],[Fecha]],2)=7),"Fin de semana","Semana")</f>
        <v>Fin de semana</v>
      </c>
    </row>
    <row r="463" spans="1:14" ht="12.75" customHeight="1" x14ac:dyDescent="0.25">
      <c r="A463" s="11" t="str">
        <f>_xlfn.XLOOKUP(Tabla15[[#This Row],[GPS]],Hoja3!A:A,Hoja3!B:B)</f>
        <v>CAMIONETA</v>
      </c>
      <c r="B463" s="11" t="str">
        <f>_xlfn.XLOOKUP(GPS!D463,Hoja3!A:A,Hoja3!D:D)</f>
        <v>PETRÓLEO</v>
      </c>
      <c r="C463" s="12" t="str">
        <f>_xlfn.XLOOKUP(Tabla15[[#This Row],[GPS]],Hoja3!A:A,Hoja3!C:C)</f>
        <v>GONZALO GUERRERO</v>
      </c>
      <c r="D463" s="12" t="s">
        <v>126</v>
      </c>
      <c r="E463" s="13">
        <v>46144</v>
      </c>
      <c r="F463" s="11">
        <v>1.7275</v>
      </c>
      <c r="G463" s="11">
        <v>32.479999999999997</v>
      </c>
      <c r="H463" s="11">
        <v>1</v>
      </c>
      <c r="I463" s="11">
        <v>30.240300000000001</v>
      </c>
      <c r="J463" s="11">
        <v>95</v>
      </c>
      <c r="K463" s="11">
        <v>0.22</v>
      </c>
      <c r="L463" s="15">
        <f t="shared" si="7"/>
        <v>3.6088888888888886</v>
      </c>
      <c r="M463" s="14">
        <f>IF(Tabla15[[#This Row],[COMBUSTIBLE]]="PETRÓLEO",L463*$Q$2,L463*$Q$4)</f>
        <v>4334.275555555555</v>
      </c>
      <c r="N463" s="12" t="str">
        <f>IF(OR(WEEKDAY(Tabla15[[#This Row],[Fecha]],2)=6,WEEKDAY(Tabla15[[#This Row],[Fecha]],2)=7),"Fin de semana","Semana")</f>
        <v>Fin de semana</v>
      </c>
    </row>
    <row r="464" spans="1:14" ht="12.75" customHeight="1" x14ac:dyDescent="0.25">
      <c r="A464" s="11" t="str">
        <f>_xlfn.XLOOKUP(Tabla15[[#This Row],[GPS]],Hoja3!A:A,Hoja3!B:B)</f>
        <v>TRACTOR</v>
      </c>
      <c r="B464" s="11" t="str">
        <f>_xlfn.XLOOKUP(GPS!D464,Hoja3!A:A,Hoja3!D:D)</f>
        <v>PETRÓLEO</v>
      </c>
      <c r="C464" s="12" t="str">
        <f>_xlfn.XLOOKUP(Tabla15[[#This Row],[GPS]],Hoja3!A:A,Hoja3!C:C)</f>
        <v>T9</v>
      </c>
      <c r="D464" s="12" t="s">
        <v>28</v>
      </c>
      <c r="E464" s="13">
        <v>46144</v>
      </c>
      <c r="F464" s="11">
        <v>1.6414</v>
      </c>
      <c r="G464" s="11">
        <v>2.4900000000000002</v>
      </c>
      <c r="H464" s="11">
        <v>1</v>
      </c>
      <c r="I464" s="11">
        <v>4.1111000000000004</v>
      </c>
      <c r="J464" s="11">
        <v>20.557200000000002</v>
      </c>
      <c r="K464" s="11">
        <v>0.21</v>
      </c>
      <c r="L464" s="15">
        <f t="shared" si="7"/>
        <v>0.41500000000000004</v>
      </c>
      <c r="M464" s="14">
        <f>IF(Tabla15[[#This Row],[COMBUSTIBLE]]="PETRÓLEO",L464*$Q$2,L464*$Q$4)</f>
        <v>498.41500000000002</v>
      </c>
      <c r="N464" s="12" t="str">
        <f>IF(OR(WEEKDAY(Tabla15[[#This Row],[Fecha]],2)=6,WEEKDAY(Tabla15[[#This Row],[Fecha]],2)=7),"Fin de semana","Semana")</f>
        <v>Fin de semana</v>
      </c>
    </row>
    <row r="465" spans="1:14" ht="12.75" customHeight="1" x14ac:dyDescent="0.25">
      <c r="A465" s="11" t="str">
        <f>_xlfn.XLOOKUP(Tabla15[[#This Row],[GPS]],Hoja3!A:A,Hoja3!B:B)</f>
        <v>TRACTOR</v>
      </c>
      <c r="B465" s="11" t="str">
        <f>_xlfn.XLOOKUP(GPS!D465,Hoja3!A:A,Hoja3!D:D)</f>
        <v>PETRÓLEO</v>
      </c>
      <c r="C465" s="12" t="str">
        <f>_xlfn.XLOOKUP(Tabla15[[#This Row],[GPS]],Hoja3!A:A,Hoja3!C:C)</f>
        <v>T7</v>
      </c>
      <c r="D465" s="12" t="s">
        <v>26</v>
      </c>
      <c r="E465" s="13">
        <v>46143</v>
      </c>
      <c r="F465" s="11">
        <v>0.91220000000000001</v>
      </c>
      <c r="G465" s="11">
        <v>4.38</v>
      </c>
      <c r="H465" s="11">
        <v>1</v>
      </c>
      <c r="I465" s="11">
        <v>7.5879000000000003</v>
      </c>
      <c r="J465" s="11">
        <v>28.9468</v>
      </c>
      <c r="K465" s="11">
        <v>0.11</v>
      </c>
      <c r="L465" s="15">
        <f t="shared" si="7"/>
        <v>0.73</v>
      </c>
      <c r="M465" s="14">
        <f>IF(Tabla15[[#This Row],[COMBUSTIBLE]]="PETRÓLEO",L465*$Q$2,L465*$Q$4)</f>
        <v>876.73</v>
      </c>
      <c r="N465" s="12" t="str">
        <f>IF(OR(WEEKDAY(Tabla15[[#This Row],[Fecha]],2)=6,WEEKDAY(Tabla15[[#This Row],[Fecha]],2)=7),"Fin de semana","Semana")</f>
        <v>Semana</v>
      </c>
    </row>
    <row r="466" spans="1:14" ht="12.75" customHeight="1" x14ac:dyDescent="0.25">
      <c r="A466" s="11" t="str">
        <f>_xlfn.XLOOKUP(Tabla15[[#This Row],[GPS]],Hoja3!A:A,Hoja3!B:B)</f>
        <v>CAMIONETA</v>
      </c>
      <c r="B466" s="11" t="str">
        <f>_xlfn.XLOOKUP(GPS!D466,Hoja3!A:A,Hoja3!D:D)</f>
        <v>PETRÓLEO</v>
      </c>
      <c r="C466" s="12" t="str">
        <f>_xlfn.XLOOKUP(Tabla15[[#This Row],[GPS]],Hoja3!A:A,Hoja3!C:C)</f>
        <v>CAMPO PAINE</v>
      </c>
      <c r="D466" s="12" t="s">
        <v>131</v>
      </c>
      <c r="E466" s="13">
        <v>46144</v>
      </c>
      <c r="F466" s="11">
        <v>0.73</v>
      </c>
      <c r="G466" s="11">
        <v>14.63</v>
      </c>
      <c r="H466" s="11">
        <v>1</v>
      </c>
      <c r="I466" s="11">
        <v>33.867600000000003</v>
      </c>
      <c r="J466" s="11">
        <v>92.9148</v>
      </c>
      <c r="K466" s="11">
        <v>0.09</v>
      </c>
      <c r="L466" s="15">
        <f t="shared" si="7"/>
        <v>1.6255555555555556</v>
      </c>
      <c r="M466" s="14">
        <f>IF(Tabla15[[#This Row],[COMBUSTIBLE]]="PETRÓLEO",L466*$Q$2,L466*$Q$4)</f>
        <v>1952.2922222222223</v>
      </c>
      <c r="N466" s="12" t="str">
        <f>IF(OR(WEEKDAY(Tabla15[[#This Row],[Fecha]],2)=6,WEEKDAY(Tabla15[[#This Row],[Fecha]],2)=7),"Fin de semana","Semana")</f>
        <v>Fin de semana</v>
      </c>
    </row>
    <row r="467" spans="1:14" ht="12.75" customHeight="1" x14ac:dyDescent="0.25">
      <c r="A467" s="11" t="str">
        <f>_xlfn.XLOOKUP(Tabla15[[#This Row],[GPS]],Hoja3!A:A,Hoja3!B:B)</f>
        <v>TRACTOR</v>
      </c>
      <c r="B467" s="11" t="str">
        <f>_xlfn.XLOOKUP(GPS!D467,Hoja3!A:A,Hoja3!D:D)</f>
        <v>PETRÓLEO</v>
      </c>
      <c r="C467" s="12" t="str">
        <f>_xlfn.XLOOKUP(Tabla15[[#This Row],[GPS]],Hoja3!A:A,Hoja3!C:C)</f>
        <v>T11</v>
      </c>
      <c r="D467" s="12" t="s">
        <v>15</v>
      </c>
      <c r="E467" s="13">
        <v>46142</v>
      </c>
      <c r="F467" s="11">
        <v>0.59440000000000004</v>
      </c>
      <c r="G467" s="11">
        <v>3.56</v>
      </c>
      <c r="H467" s="11">
        <v>1</v>
      </c>
      <c r="I467" s="11">
        <v>5.7500999999999998</v>
      </c>
      <c r="J467" s="11">
        <v>22.335100000000001</v>
      </c>
      <c r="K467" s="11">
        <v>7.0000000000000007E-2</v>
      </c>
      <c r="L467" s="15">
        <f t="shared" si="7"/>
        <v>0.59333333333333338</v>
      </c>
      <c r="M467" s="14">
        <f>IF(Tabla15[[#This Row],[COMBUSTIBLE]]="PETRÓLEO",L467*$Q$2,L467*$Q$4)</f>
        <v>712.59333333333336</v>
      </c>
      <c r="N467" s="12" t="str">
        <f>IF(OR(WEEKDAY(Tabla15[[#This Row],[Fecha]],2)=6,WEEKDAY(Tabla15[[#This Row],[Fecha]],2)=7),"Fin de semana","Semana")</f>
        <v>Semana</v>
      </c>
    </row>
    <row r="468" spans="1:14" ht="12.75" customHeight="1" x14ac:dyDescent="0.25">
      <c r="A468" s="11" t="str">
        <f>_xlfn.XLOOKUP(Tabla15[[#This Row],[GPS]],Hoja3!A:A,Hoja3!B:B)</f>
        <v>TRACTOR</v>
      </c>
      <c r="B468" s="11" t="str">
        <f>_xlfn.XLOOKUP(GPS!D468,Hoja3!A:A,Hoja3!D:D)</f>
        <v>PETRÓLEO</v>
      </c>
      <c r="C468" s="12" t="str">
        <f>_xlfn.XLOOKUP(Tabla15[[#This Row],[GPS]],Hoja3!A:A,Hoja3!C:C)</f>
        <v>T13</v>
      </c>
      <c r="D468" s="12" t="s">
        <v>19</v>
      </c>
      <c r="E468" s="13">
        <v>46144</v>
      </c>
      <c r="F468" s="11">
        <v>0.50329999999999997</v>
      </c>
      <c r="G468" s="11">
        <v>2.2400000000000002</v>
      </c>
      <c r="H468" s="11">
        <v>1</v>
      </c>
      <c r="I468" s="11">
        <v>6.3982000000000001</v>
      </c>
      <c r="J468" s="11">
        <v>26.409500000000001</v>
      </c>
      <c r="K468" s="11">
        <v>0.06</v>
      </c>
      <c r="L468" s="15">
        <f t="shared" si="7"/>
        <v>0.37333333333333335</v>
      </c>
      <c r="M468" s="14">
        <f>IF(Tabla15[[#This Row],[COMBUSTIBLE]]="PETRÓLEO",L468*$Q$2,L468*$Q$4)</f>
        <v>448.37333333333333</v>
      </c>
      <c r="N468" s="12" t="str">
        <f>IF(OR(WEEKDAY(Tabla15[[#This Row],[Fecha]],2)=6,WEEKDAY(Tabla15[[#This Row],[Fecha]],2)=7),"Fin de semana","Semana")</f>
        <v>Fin de semana</v>
      </c>
    </row>
    <row r="469" spans="1:14" ht="12.75" customHeight="1" x14ac:dyDescent="0.25">
      <c r="A469" s="11" t="str">
        <f>_xlfn.XLOOKUP(Tabla15[[#This Row],[GPS]],Hoja3!A:A,Hoja3!B:B)</f>
        <v>CAMIONETA</v>
      </c>
      <c r="B469" s="11" t="str">
        <f>_xlfn.XLOOKUP(GPS!D469,Hoja3!A:A,Hoja3!D:D)</f>
        <v>PETRÓLEO</v>
      </c>
      <c r="C469" s="12" t="str">
        <f>_xlfn.XLOOKUP(Tabla15[[#This Row],[GPS]],Hoja3!A:A,Hoja3!C:C)</f>
        <v>RODRIGO SALINAS</v>
      </c>
      <c r="D469" s="12" t="s">
        <v>109</v>
      </c>
      <c r="E469" s="13">
        <v>46144</v>
      </c>
      <c r="F469" s="11">
        <v>0.28079999999999999</v>
      </c>
      <c r="G469" s="11">
        <v>5.1100000000000003</v>
      </c>
      <c r="H469" s="11">
        <v>1</v>
      </c>
      <c r="I469" s="11">
        <v>25.901</v>
      </c>
      <c r="J469" s="11">
        <v>58</v>
      </c>
      <c r="K469" s="11">
        <v>0.04</v>
      </c>
      <c r="L469" s="15">
        <f t="shared" si="7"/>
        <v>0.56777777777777783</v>
      </c>
      <c r="M469" s="14">
        <f>IF(Tabla15[[#This Row],[COMBUSTIBLE]]="PETRÓLEO",L469*$Q$2,L469*$Q$4)</f>
        <v>681.90111111111116</v>
      </c>
      <c r="N469" s="12" t="str">
        <f>IF(OR(WEEKDAY(Tabla15[[#This Row],[Fecha]],2)=6,WEEKDAY(Tabla15[[#This Row],[Fecha]],2)=7),"Fin de semana","Semana")</f>
        <v>Fin de semana</v>
      </c>
    </row>
    <row r="470" spans="1:14" ht="12.75" customHeight="1" x14ac:dyDescent="0.25">
      <c r="A470" s="11" t="str">
        <f>_xlfn.XLOOKUP(Tabla15[[#This Row],[GPS]],Hoja3!A:A,Hoja3!B:B)</f>
        <v>TRACTOR</v>
      </c>
      <c r="B470" s="11" t="str">
        <f>_xlfn.XLOOKUP(GPS!D470,Hoja3!A:A,Hoja3!D:D)</f>
        <v>PETRÓLEO</v>
      </c>
      <c r="C470" s="12" t="str">
        <f>_xlfn.XLOOKUP(Tabla15[[#This Row],[GPS]],Hoja3!A:A,Hoja3!C:C)</f>
        <v>T8</v>
      </c>
      <c r="D470" s="12" t="s">
        <v>27</v>
      </c>
      <c r="E470" s="13">
        <v>46142</v>
      </c>
      <c r="F470" s="11">
        <v>0.2392</v>
      </c>
      <c r="G470" s="11">
        <v>1</v>
      </c>
      <c r="H470" s="11">
        <v>0</v>
      </c>
      <c r="I470" s="11">
        <v>5.7919</v>
      </c>
      <c r="J470" s="11">
        <v>35.762099999999997</v>
      </c>
      <c r="K470" s="11">
        <v>0.03</v>
      </c>
      <c r="L470" s="15">
        <f t="shared" si="7"/>
        <v>0.16666666666666666</v>
      </c>
      <c r="M470" s="14">
        <f>IF(Tabla15[[#This Row],[COMBUSTIBLE]]="PETRÓLEO",L470*$Q$2,L470*$Q$4)</f>
        <v>200.16666666666666</v>
      </c>
      <c r="N470" s="12" t="str">
        <f>IF(OR(WEEKDAY(Tabla15[[#This Row],[Fecha]],2)=6,WEEKDAY(Tabla15[[#This Row],[Fecha]],2)=7),"Fin de semana","Semana")</f>
        <v>Semana</v>
      </c>
    </row>
    <row r="471" spans="1:14" ht="12.75" customHeight="1" x14ac:dyDescent="0.25">
      <c r="A471" s="11" t="str">
        <f>_xlfn.XLOOKUP(Tabla15[[#This Row],[GPS]],Hoja3!A:A,Hoja3!B:B)</f>
        <v>CAMIONETA</v>
      </c>
      <c r="B471" s="11" t="str">
        <f>_xlfn.XLOOKUP(GPS!D471,Hoja3!A:A,Hoja3!D:D)</f>
        <v>PETRÓLEO</v>
      </c>
      <c r="C471" s="12" t="str">
        <f>_xlfn.XLOOKUP(Tabla15[[#This Row],[GPS]],Hoja3!A:A,Hoja3!C:C)</f>
        <v>CAMPO RULO</v>
      </c>
      <c r="D471" s="12" t="s">
        <v>135</v>
      </c>
      <c r="E471" s="13">
        <v>46143</v>
      </c>
      <c r="F471" s="11">
        <v>6.4000000000000003E-3</v>
      </c>
      <c r="G471" s="11">
        <v>0.03</v>
      </c>
      <c r="H471" s="11">
        <v>0</v>
      </c>
      <c r="I471" s="11">
        <v>11.6953</v>
      </c>
      <c r="J471" s="11">
        <v>33.706400000000002</v>
      </c>
      <c r="K471" s="11">
        <v>0</v>
      </c>
      <c r="L471" s="15">
        <f t="shared" si="7"/>
        <v>3.3333333333333331E-3</v>
      </c>
      <c r="M471" s="14">
        <f>IF(Tabla15[[#This Row],[COMBUSTIBLE]]="PETRÓLEO",L471*$Q$2,L471*$Q$4)</f>
        <v>4.003333333333333</v>
      </c>
      <c r="N471" s="12" t="str">
        <f>IF(OR(WEEKDAY(Tabla15[[#This Row],[Fecha]],2)=6,WEEKDAY(Tabla15[[#This Row],[Fecha]],2)=7),"Fin de semana","Semana")</f>
        <v>Semana</v>
      </c>
    </row>
    <row r="472" spans="1:14" ht="12.75" customHeight="1" x14ac:dyDescent="0.25">
      <c r="A472" s="11" t="str">
        <f>_xlfn.XLOOKUP(Tabla15[[#This Row],[GPS]],Hoja3!A:A,Hoja3!B:B)</f>
        <v>TRACTOR</v>
      </c>
      <c r="B472" s="11" t="str">
        <f>_xlfn.XLOOKUP(GPS!D472,Hoja3!A:A,Hoja3!D:D)</f>
        <v>PETRÓLEO</v>
      </c>
      <c r="C472" s="12" t="str">
        <f>_xlfn.XLOOKUP(Tabla15[[#This Row],[GPS]],Hoja3!A:A,Hoja3!C:C)</f>
        <v>T9</v>
      </c>
      <c r="D472" s="12" t="s">
        <v>28</v>
      </c>
      <c r="E472" s="13">
        <v>46145</v>
      </c>
      <c r="F472" s="11">
        <v>4.1999999999999997E-3</v>
      </c>
      <c r="G472" s="11">
        <v>0</v>
      </c>
      <c r="H472" s="11">
        <v>0</v>
      </c>
      <c r="I472" s="11">
        <v>0</v>
      </c>
      <c r="J472" s="11">
        <v>0</v>
      </c>
      <c r="K472" s="11">
        <v>0</v>
      </c>
      <c r="L472" s="15">
        <f t="shared" si="7"/>
        <v>0</v>
      </c>
      <c r="M472" s="14">
        <f>IF(Tabla15[[#This Row],[COMBUSTIBLE]]="PETRÓLEO",L472*$Q$2,L472*$Q$4)</f>
        <v>0</v>
      </c>
      <c r="N472" s="12" t="str">
        <f>IF(OR(WEEKDAY(Tabla15[[#This Row],[Fecha]],2)=6,WEEKDAY(Tabla15[[#This Row],[Fecha]],2)=7),"Fin de semana","Semana")</f>
        <v>Fin de semana</v>
      </c>
    </row>
    <row r="473" spans="1:14" ht="12.75" customHeight="1" x14ac:dyDescent="0.25">
      <c r="A473" s="11" t="str">
        <f>_xlfn.XLOOKUP(Tabla15[[#This Row],[GPS]],Hoja3!A:A,Hoja3!B:B)</f>
        <v>CAMIONETA</v>
      </c>
      <c r="B473" s="11" t="str">
        <f>_xlfn.XLOOKUP(GPS!D473,Hoja3!A:A,Hoja3!D:D)</f>
        <v>BENCINA</v>
      </c>
      <c r="C473" s="12" t="str">
        <f>_xlfn.XLOOKUP(Tabla15[[#This Row],[GPS]],Hoja3!A:A,Hoja3!C:C)</f>
        <v>VG PIÑALEO</v>
      </c>
      <c r="D473" s="12" t="s">
        <v>114</v>
      </c>
      <c r="E473" s="13">
        <v>46143</v>
      </c>
      <c r="F473" s="11">
        <v>0</v>
      </c>
      <c r="G473" s="11">
        <v>4.93</v>
      </c>
      <c r="H473" s="11">
        <v>1</v>
      </c>
      <c r="I473" s="11">
        <v>30.322199999999999</v>
      </c>
      <c r="J473" s="11">
        <v>73.000100000000003</v>
      </c>
      <c r="K473" s="11">
        <v>0</v>
      </c>
      <c r="L473" s="15">
        <f t="shared" si="7"/>
        <v>0.44818181818181818</v>
      </c>
      <c r="M473" s="14">
        <f>IF(Tabla15[[#This Row],[COMBUSTIBLE]]="PETRÓLEO",L473*$Q$2,L473*$Q$4)</f>
        <v>694.68181818181813</v>
      </c>
      <c r="N473" s="12" t="str">
        <f>IF(OR(WEEKDAY(Tabla15[[#This Row],[Fecha]],2)=6,WEEKDAY(Tabla15[[#This Row],[Fecha]],2)=7),"Fin de semana","Semana")</f>
        <v>Semana</v>
      </c>
    </row>
    <row r="474" spans="1:14" ht="12.75" customHeight="1" x14ac:dyDescent="0.25">
      <c r="A474" s="11" t="str">
        <f>_xlfn.XLOOKUP(Tabla15[[#This Row],[GPS]],Hoja3!A:A,Hoja3!B:B)</f>
        <v>TRACTOR</v>
      </c>
      <c r="B474" s="11" t="str">
        <f>_xlfn.XLOOKUP(GPS!D474,Hoja3!A:A,Hoja3!D:D)</f>
        <v>PETRÓLEO</v>
      </c>
      <c r="C474" s="12" t="str">
        <f>_xlfn.XLOOKUP(Tabla15[[#This Row],[GPS]],Hoja3!A:A,Hoja3!C:C)</f>
        <v>T7</v>
      </c>
      <c r="D474" s="12" t="s">
        <v>26</v>
      </c>
      <c r="E474" s="13">
        <v>46144</v>
      </c>
      <c r="F474" s="11">
        <v>0</v>
      </c>
      <c r="G474" s="11">
        <v>0.01</v>
      </c>
      <c r="H474" s="11">
        <v>0</v>
      </c>
      <c r="I474" s="11">
        <v>14.6678</v>
      </c>
      <c r="J474" s="11">
        <v>14.6678</v>
      </c>
      <c r="K474" s="11">
        <v>0</v>
      </c>
      <c r="L474" s="15">
        <f t="shared" si="7"/>
        <v>1.6666666666666668E-3</v>
      </c>
      <c r="M474" s="14">
        <f>IF(Tabla15[[#This Row],[COMBUSTIBLE]]="PETRÓLEO",L474*$Q$2,L474*$Q$4)</f>
        <v>2.0016666666666669</v>
      </c>
      <c r="N474" s="12" t="str">
        <f>IF(OR(WEEKDAY(Tabla15[[#This Row],[Fecha]],2)=6,WEEKDAY(Tabla15[[#This Row],[Fecha]],2)=7),"Fin de semana","Semana")</f>
        <v>Fin de semana</v>
      </c>
    </row>
    <row r="475" spans="1:14" ht="12.75" customHeight="1" x14ac:dyDescent="0.25">
      <c r="A475" s="11" t="str">
        <f>_xlfn.XLOOKUP(Tabla15[[#This Row],[GPS]],Hoja3!A:A,Hoja3!B:B)</f>
        <v>CAMIONETA</v>
      </c>
      <c r="B475" s="11" t="str">
        <f>_xlfn.XLOOKUP(GPS!D475,Hoja3!A:A,Hoja3!D:D)</f>
        <v>BENCINA</v>
      </c>
      <c r="C475" s="12" t="str">
        <f>_xlfn.XLOOKUP(Tabla15[[#This Row],[GPS]],Hoja3!A:A,Hoja3!C:C)</f>
        <v>VG GERARDO</v>
      </c>
      <c r="D475" s="12" t="s">
        <v>118</v>
      </c>
      <c r="E475" s="13">
        <v>46145</v>
      </c>
      <c r="F475" s="11">
        <v>0</v>
      </c>
      <c r="G475" s="11">
        <v>0.4</v>
      </c>
      <c r="H475" s="11">
        <v>0</v>
      </c>
      <c r="I475" s="11">
        <v>8.4678000000000004</v>
      </c>
      <c r="J475" s="11">
        <v>28</v>
      </c>
      <c r="K475" s="11">
        <v>0</v>
      </c>
      <c r="L475" s="15">
        <f t="shared" si="7"/>
        <v>3.6363636363636369E-2</v>
      </c>
      <c r="M475" s="14">
        <f>IF(Tabla15[[#This Row],[COMBUSTIBLE]]="PETRÓLEO",L475*$Q$2,L475*$Q$4)</f>
        <v>56.363636363636374</v>
      </c>
      <c r="N475" s="12" t="str">
        <f>IF(OR(WEEKDAY(Tabla15[[#This Row],[Fecha]],2)=6,WEEKDAY(Tabla15[[#This Row],[Fecha]],2)=7),"Fin de semana","Semana")</f>
        <v>Fin de semana</v>
      </c>
    </row>
    <row r="476" spans="1:14" ht="12.75" customHeight="1" x14ac:dyDescent="0.25">
      <c r="A476" s="11" t="str">
        <f>_xlfn.XLOOKUP(Tabla15[[#This Row],[GPS]],Hoja3!A:A,Hoja3!B:B)</f>
        <v>CAMIONETA</v>
      </c>
      <c r="B476" s="11" t="str">
        <f>_xlfn.XLOOKUP(GPS!D476,Hoja3!A:A,Hoja3!D:D)</f>
        <v>PETRÓLEO</v>
      </c>
      <c r="C476" s="12" t="str">
        <f>_xlfn.XLOOKUP(Tabla15[[#This Row],[GPS]],Hoja3!A:A,Hoja3!C:C)</f>
        <v>SERGIO ROJAS</v>
      </c>
      <c r="D476" s="12" t="s">
        <v>128</v>
      </c>
      <c r="E476" s="13">
        <v>46144</v>
      </c>
      <c r="F476" s="11">
        <v>0</v>
      </c>
      <c r="G476" s="11">
        <v>3.15</v>
      </c>
      <c r="H476" s="11">
        <v>1</v>
      </c>
      <c r="I476" s="11">
        <v>20.816700000000001</v>
      </c>
      <c r="J476" s="11">
        <v>44</v>
      </c>
      <c r="K476" s="11">
        <v>0</v>
      </c>
      <c r="L476" s="15">
        <f t="shared" si="7"/>
        <v>0.35</v>
      </c>
      <c r="M476" s="14">
        <f>IF(Tabla15[[#This Row],[COMBUSTIBLE]]="PETRÓLEO",L476*$Q$2,L476*$Q$4)</f>
        <v>420.34999999999997</v>
      </c>
      <c r="N476" s="12" t="str">
        <f>IF(OR(WEEKDAY(Tabla15[[#This Row],[Fecha]],2)=6,WEEKDAY(Tabla15[[#This Row],[Fecha]],2)=7),"Fin de semana","Semana")</f>
        <v>Fin de semana</v>
      </c>
    </row>
    <row r="477" spans="1:14" ht="12.75" customHeight="1" x14ac:dyDescent="0.25">
      <c r="A477" s="11" t="str">
        <f>_xlfn.XLOOKUP(Tabla15[[#This Row],[GPS]],Hoja3!A:A,Hoja3!B:B)</f>
        <v>CAMIONETA</v>
      </c>
      <c r="B477" s="11" t="str">
        <f>_xlfn.XLOOKUP(GPS!D477,Hoja3!A:A,Hoja3!D:D)</f>
        <v>BENCINA</v>
      </c>
      <c r="C477" s="12" t="str">
        <f>_xlfn.XLOOKUP(Tabla15[[#This Row],[GPS]],Hoja3!A:A,Hoja3!C:C)</f>
        <v>VG GERARDO</v>
      </c>
      <c r="D477" s="12" t="s">
        <v>118</v>
      </c>
      <c r="E477" s="13">
        <v>46142</v>
      </c>
      <c r="F477" s="11">
        <v>0</v>
      </c>
      <c r="G477" s="11">
        <v>48.06</v>
      </c>
      <c r="H477" s="11">
        <v>1</v>
      </c>
      <c r="I477" s="11">
        <v>42.184399999999997</v>
      </c>
      <c r="J477" s="11">
        <v>113.3424</v>
      </c>
      <c r="K477" s="11">
        <v>0</v>
      </c>
      <c r="L477" s="15">
        <f t="shared" si="7"/>
        <v>4.3690909090909091</v>
      </c>
      <c r="M477" s="14">
        <f>IF(Tabla15[[#This Row],[COMBUSTIBLE]]="PETRÓLEO",L477*$Q$2,L477*$Q$4)</f>
        <v>6772.090909090909</v>
      </c>
      <c r="N477" s="12" t="str">
        <f>IF(OR(WEEKDAY(Tabla15[[#This Row],[Fecha]],2)=6,WEEKDAY(Tabla15[[#This Row],[Fecha]],2)=7),"Fin de semana","Semana")</f>
        <v>Semana</v>
      </c>
    </row>
    <row r="478" spans="1:14" ht="12.75" customHeight="1" x14ac:dyDescent="0.25">
      <c r="A478" s="11" t="str">
        <f>_xlfn.XLOOKUP(Tabla15[[#This Row],[GPS]],Hoja3!A:A,Hoja3!B:B)</f>
        <v>CAMIONETA</v>
      </c>
      <c r="B478" s="11" t="str">
        <f>_xlfn.XLOOKUP(GPS!D478,Hoja3!A:A,Hoja3!D:D)</f>
        <v>BENCINA</v>
      </c>
      <c r="C478" s="12" t="str">
        <f>_xlfn.XLOOKUP(Tabla15[[#This Row],[GPS]],Hoja3!A:A,Hoja3!C:C)</f>
        <v>VG GERARDO</v>
      </c>
      <c r="D478" s="12" t="s">
        <v>118</v>
      </c>
      <c r="E478" s="13">
        <v>46144</v>
      </c>
      <c r="F478" s="11">
        <v>0</v>
      </c>
      <c r="G478" s="11">
        <v>0.41</v>
      </c>
      <c r="H478" s="11">
        <v>0</v>
      </c>
      <c r="I478" s="11">
        <v>7.1322999999999999</v>
      </c>
      <c r="J478" s="11">
        <v>26.9999</v>
      </c>
      <c r="K478" s="11">
        <v>0</v>
      </c>
      <c r="L478" s="15">
        <f t="shared" si="7"/>
        <v>3.727272727272727E-2</v>
      </c>
      <c r="M478" s="14">
        <f>IF(Tabla15[[#This Row],[COMBUSTIBLE]]="PETRÓLEO",L478*$Q$2,L478*$Q$4)</f>
        <v>57.772727272727266</v>
      </c>
      <c r="N478" s="12" t="str">
        <f>IF(OR(WEEKDAY(Tabla15[[#This Row],[Fecha]],2)=6,WEEKDAY(Tabla15[[#This Row],[Fecha]],2)=7),"Fin de semana","Semana")</f>
        <v>Fin de semana</v>
      </c>
    </row>
    <row r="479" spans="1:14" ht="12.75" customHeight="1" x14ac:dyDescent="0.25">
      <c r="A479" s="11" t="str">
        <f>_xlfn.XLOOKUP(Tabla15[[#This Row],[GPS]],Hoja3!A:A,Hoja3!B:B)</f>
        <v>CAMIONETA</v>
      </c>
      <c r="B479" s="11" t="str">
        <f>_xlfn.XLOOKUP(GPS!D479,Hoja3!A:A,Hoja3!D:D)</f>
        <v>BENCINA</v>
      </c>
      <c r="C479" s="12" t="str">
        <f>_xlfn.XLOOKUP(Tabla15[[#This Row],[GPS]],Hoja3!A:A,Hoja3!C:C)</f>
        <v>VG CERRILLOS</v>
      </c>
      <c r="D479" s="12" t="s">
        <v>137</v>
      </c>
      <c r="E479" s="13">
        <v>46142</v>
      </c>
      <c r="F479" s="11">
        <v>0</v>
      </c>
      <c r="G479" s="11">
        <v>39.36</v>
      </c>
      <c r="H479" s="11">
        <v>1</v>
      </c>
      <c r="I479" s="11">
        <v>20.974499999999999</v>
      </c>
      <c r="J479" s="11">
        <v>71.320499999999996</v>
      </c>
      <c r="K479" s="11">
        <v>0</v>
      </c>
      <c r="L479" s="15">
        <f t="shared" si="7"/>
        <v>3.5781818181818181</v>
      </c>
      <c r="M479" s="14">
        <f>IF(Tabla15[[#This Row],[COMBUSTIBLE]]="PETRÓLEO",L479*$Q$2,L479*$Q$4)</f>
        <v>5546.181818181818</v>
      </c>
      <c r="N479" s="12" t="str">
        <f>IF(OR(WEEKDAY(Tabla15[[#This Row],[Fecha]],2)=6,WEEKDAY(Tabla15[[#This Row],[Fecha]],2)=7),"Fin de semana","Semana")</f>
        <v>Semana</v>
      </c>
    </row>
    <row r="480" spans="1:14" ht="12.75" customHeight="1" x14ac:dyDescent="0.25">
      <c r="A480" s="11" t="str">
        <f>_xlfn.XLOOKUP(Tabla15[[#This Row],[GPS]],Hoja3!A:A,Hoja3!B:B)</f>
        <v>CAMIONETA</v>
      </c>
      <c r="B480" s="11" t="str">
        <f>_xlfn.XLOOKUP(GPS!D480,Hoja3!A:A,Hoja3!D:D)</f>
        <v>BENCINA</v>
      </c>
      <c r="C480" s="12" t="str">
        <f>_xlfn.XLOOKUP(Tabla15[[#This Row],[GPS]],Hoja3!A:A,Hoja3!C:C)</f>
        <v>VG PIÑALEO</v>
      </c>
      <c r="D480" s="12" t="s">
        <v>114</v>
      </c>
      <c r="E480" s="13">
        <v>46142</v>
      </c>
      <c r="F480" s="11">
        <v>0</v>
      </c>
      <c r="G480" s="11">
        <v>98.13</v>
      </c>
      <c r="H480" s="11">
        <v>1</v>
      </c>
      <c r="I480" s="11">
        <v>39.476999999999997</v>
      </c>
      <c r="J480" s="11">
        <v>111</v>
      </c>
      <c r="K480" s="11">
        <v>0</v>
      </c>
      <c r="L480" s="15">
        <f t="shared" si="7"/>
        <v>8.92090909090909</v>
      </c>
      <c r="M480" s="14">
        <f>IF(Tabla15[[#This Row],[COMBUSTIBLE]]="PETRÓLEO",L480*$Q$2,L480*$Q$4)</f>
        <v>13827.40909090909</v>
      </c>
      <c r="N480" s="12" t="str">
        <f>IF(OR(WEEKDAY(Tabla15[[#This Row],[Fecha]],2)=6,WEEKDAY(Tabla15[[#This Row],[Fecha]],2)=7),"Fin de semana","Semana")</f>
        <v>Semana</v>
      </c>
    </row>
    <row r="481" spans="1:14" ht="12.75" customHeight="1" x14ac:dyDescent="0.25">
      <c r="A481" s="11" t="str">
        <f>_xlfn.XLOOKUP(Tabla15[[#This Row],[GPS]],Hoja3!A:A,Hoja3!B:B)</f>
        <v>CAMIONETA</v>
      </c>
      <c r="B481" s="11" t="str">
        <f>_xlfn.XLOOKUP(GPS!D481,Hoja3!A:A,Hoja3!D:D)</f>
        <v>PETRÓLEO</v>
      </c>
      <c r="C481" s="12" t="str">
        <f>_xlfn.XLOOKUP(Tabla15[[#This Row],[GPS]],Hoja3!A:A,Hoja3!C:C)</f>
        <v>SERGIO ROJAS</v>
      </c>
      <c r="D481" s="12" t="s">
        <v>128</v>
      </c>
      <c r="E481" s="13">
        <v>46142</v>
      </c>
      <c r="F481" s="11">
        <v>0</v>
      </c>
      <c r="G481" s="11">
        <v>33.380000000000003</v>
      </c>
      <c r="H481" s="11">
        <v>1</v>
      </c>
      <c r="I481" s="11">
        <v>22.212599999999998</v>
      </c>
      <c r="J481" s="11">
        <v>79</v>
      </c>
      <c r="K481" s="11">
        <v>0</v>
      </c>
      <c r="L481" s="15">
        <f t="shared" si="7"/>
        <v>3.7088888888888891</v>
      </c>
      <c r="M481" s="14">
        <f>IF(Tabla15[[#This Row],[COMBUSTIBLE]]="PETRÓLEO",L481*$Q$2,L481*$Q$4)</f>
        <v>4454.3755555555563</v>
      </c>
      <c r="N481" s="12" t="str">
        <f>IF(OR(WEEKDAY(Tabla15[[#This Row],[Fecha]],2)=6,WEEKDAY(Tabla15[[#This Row],[Fecha]],2)=7),"Fin de semana","Semana")</f>
        <v>Semana</v>
      </c>
    </row>
    <row r="482" spans="1:14" ht="12.75" customHeight="1" x14ac:dyDescent="0.25">
      <c r="A482" s="11" t="str">
        <f>_xlfn.XLOOKUP(Tabla15[[#This Row],[GPS]],Hoja3!A:A,Hoja3!B:B)</f>
        <v>CAMIONETA</v>
      </c>
      <c r="B482" s="11" t="str">
        <f>_xlfn.XLOOKUP(GPS!D482,Hoja3!A:A,Hoja3!D:D)</f>
        <v>BENCINA</v>
      </c>
      <c r="C482" s="12" t="str">
        <f>_xlfn.XLOOKUP(Tabla15[[#This Row],[GPS]],Hoja3!A:A,Hoja3!C:C)</f>
        <v>VG PIÑALEO</v>
      </c>
      <c r="D482" s="12" t="s">
        <v>114</v>
      </c>
      <c r="E482" s="13">
        <v>46144</v>
      </c>
      <c r="F482" s="11">
        <v>0</v>
      </c>
      <c r="G482" s="11">
        <v>0.03</v>
      </c>
      <c r="H482" s="11">
        <v>0</v>
      </c>
      <c r="I482" s="11">
        <v>5.9909999999999997</v>
      </c>
      <c r="J482" s="11">
        <v>10.3156</v>
      </c>
      <c r="K482" s="11">
        <v>0</v>
      </c>
      <c r="L482" s="15">
        <f t="shared" si="7"/>
        <v>2.7272727272727271E-3</v>
      </c>
      <c r="M482" s="14">
        <f>IF(Tabla15[[#This Row],[COMBUSTIBLE]]="PETRÓLEO",L482*$Q$2,L482*$Q$4)</f>
        <v>4.2272727272727266</v>
      </c>
      <c r="N482" s="12" t="str">
        <f>IF(OR(WEEKDAY(Tabla15[[#This Row],[Fecha]],2)=6,WEEKDAY(Tabla15[[#This Row],[Fecha]],2)=7),"Fin de semana","Semana")</f>
        <v>Fin de semana</v>
      </c>
    </row>
    <row r="483" spans="1:14" ht="12.75" customHeight="1" x14ac:dyDescent="0.25">
      <c r="A483" s="11" t="str">
        <f>_xlfn.XLOOKUP(Tabla15[[#This Row],[GPS]],Hoja3!A:A,Hoja3!B:B)</f>
        <v>TRACTOR</v>
      </c>
      <c r="B483" s="11" t="str">
        <f>_xlfn.XLOOKUP(GPS!D483,Hoja3!A:A,Hoja3!D:D)</f>
        <v>PETRÓLEO</v>
      </c>
      <c r="C483" s="12" t="str">
        <f>_xlfn.XLOOKUP(Tabla15[[#This Row],[GPS]],Hoja3!A:A,Hoja3!C:C)</f>
        <v>T7</v>
      </c>
      <c r="D483" s="12" t="s">
        <v>26</v>
      </c>
      <c r="E483" s="13">
        <v>46146</v>
      </c>
      <c r="F483" s="11">
        <v>5.0861000000000001</v>
      </c>
      <c r="G483" s="11">
        <v>12.08</v>
      </c>
      <c r="H483" s="11">
        <v>1</v>
      </c>
      <c r="I483" s="11">
        <v>5.1440000000000001</v>
      </c>
      <c r="J483" s="11">
        <v>26.1873</v>
      </c>
      <c r="K483" s="11">
        <v>0.64</v>
      </c>
      <c r="L483" s="15">
        <f t="shared" si="7"/>
        <v>2.0133333333333332</v>
      </c>
      <c r="M483" s="14">
        <f>IF(Tabla15[[#This Row],[COMBUSTIBLE]]="PETRÓLEO",L483*$Q$2,L483*$Q$4)</f>
        <v>2418.0133333333333</v>
      </c>
      <c r="N483" s="12" t="str">
        <f>IF(OR(WEEKDAY(Tabla15[[#This Row],[Fecha]],2)=6,WEEKDAY(Tabla15[[#This Row],[Fecha]],2)=7),"Fin de semana","Semana")</f>
        <v>Semana</v>
      </c>
    </row>
    <row r="484" spans="1:14" ht="12.75" customHeight="1" x14ac:dyDescent="0.25">
      <c r="A484" s="11" t="str">
        <f>_xlfn.XLOOKUP(Tabla15[[#This Row],[GPS]],Hoja3!A:A,Hoja3!B:B)</f>
        <v>TRACTOR</v>
      </c>
      <c r="B484" s="11" t="str">
        <f>_xlfn.XLOOKUP(GPS!D484,Hoja3!A:A,Hoja3!D:D)</f>
        <v>PETRÓLEO</v>
      </c>
      <c r="C484" s="12" t="str">
        <f>_xlfn.XLOOKUP(Tabla15[[#This Row],[GPS]],Hoja3!A:A,Hoja3!C:C)</f>
        <v>T8</v>
      </c>
      <c r="D484" s="12" t="s">
        <v>27</v>
      </c>
      <c r="E484" s="13">
        <v>46146</v>
      </c>
      <c r="F484" s="11">
        <v>4.2964000000000002</v>
      </c>
      <c r="G484" s="11">
        <v>15.95</v>
      </c>
      <c r="H484" s="11">
        <v>1</v>
      </c>
      <c r="I484" s="11">
        <v>5.7736000000000001</v>
      </c>
      <c r="J484" s="11">
        <v>68.135099999999994</v>
      </c>
      <c r="K484" s="11">
        <v>0.54</v>
      </c>
      <c r="L484" s="15">
        <f t="shared" si="7"/>
        <v>2.6583333333333332</v>
      </c>
      <c r="M484" s="14">
        <f>IF(Tabla15[[#This Row],[COMBUSTIBLE]]="PETRÓLEO",L484*$Q$2,L484*$Q$4)</f>
        <v>3192.6583333333333</v>
      </c>
      <c r="N484" s="12" t="str">
        <f>IF(OR(WEEKDAY(Tabla15[[#This Row],[Fecha]],2)=6,WEEKDAY(Tabla15[[#This Row],[Fecha]],2)=7),"Fin de semana","Semana")</f>
        <v>Semana</v>
      </c>
    </row>
    <row r="485" spans="1:14" ht="12.75" customHeight="1" x14ac:dyDescent="0.25">
      <c r="A485" s="11" t="str">
        <f>_xlfn.XLOOKUP(Tabla15[[#This Row],[GPS]],Hoja3!A:A,Hoja3!B:B)</f>
        <v>CAMIONETA</v>
      </c>
      <c r="B485" s="11" t="str">
        <f>_xlfn.XLOOKUP(GPS!D485,Hoja3!A:A,Hoja3!D:D)</f>
        <v>PETRÓLEO</v>
      </c>
      <c r="C485" s="12" t="str">
        <f>_xlfn.XLOOKUP(Tabla15[[#This Row],[GPS]],Hoja3!A:A,Hoja3!C:C)</f>
        <v>GONZALO GUERRERO</v>
      </c>
      <c r="D485" s="12" t="s">
        <v>126</v>
      </c>
      <c r="E485" s="13">
        <v>46146</v>
      </c>
      <c r="F485" s="11">
        <v>3.9483000000000001</v>
      </c>
      <c r="G485" s="11">
        <v>97.3</v>
      </c>
      <c r="H485" s="11">
        <v>1</v>
      </c>
      <c r="I485" s="11">
        <v>29.484300000000001</v>
      </c>
      <c r="J485" s="11">
        <v>123</v>
      </c>
      <c r="K485" s="11">
        <v>0.49</v>
      </c>
      <c r="L485" s="15">
        <f t="shared" si="7"/>
        <v>10.81111111111111</v>
      </c>
      <c r="M485" s="14">
        <f>IF(Tabla15[[#This Row],[COMBUSTIBLE]]="PETRÓLEO",L485*$Q$2,L485*$Q$4)</f>
        <v>12984.144444444442</v>
      </c>
      <c r="N485" s="12" t="str">
        <f>IF(OR(WEEKDAY(Tabla15[[#This Row],[Fecha]],2)=6,WEEKDAY(Tabla15[[#This Row],[Fecha]],2)=7),"Fin de semana","Semana")</f>
        <v>Semana</v>
      </c>
    </row>
    <row r="486" spans="1:14" ht="12.75" customHeight="1" x14ac:dyDescent="0.25">
      <c r="A486" s="11" t="str">
        <f>_xlfn.XLOOKUP(Tabla15[[#This Row],[GPS]],Hoja3!A:A,Hoja3!B:B)</f>
        <v>CAMIONETA</v>
      </c>
      <c r="B486" s="11" t="str">
        <f>_xlfn.XLOOKUP(GPS!D486,Hoja3!A:A,Hoja3!D:D)</f>
        <v>PETRÓLEO</v>
      </c>
      <c r="C486" s="12" t="str">
        <f>_xlfn.XLOOKUP(Tabla15[[#This Row],[GPS]],Hoja3!A:A,Hoja3!C:C)</f>
        <v>RODRIGO SALINAS</v>
      </c>
      <c r="D486" s="12" t="s">
        <v>109</v>
      </c>
      <c r="E486" s="13">
        <v>46146</v>
      </c>
      <c r="F486" s="11">
        <v>3.6705999999999999</v>
      </c>
      <c r="G486" s="11">
        <v>153.09</v>
      </c>
      <c r="H486" s="11">
        <v>1</v>
      </c>
      <c r="I486" s="11">
        <v>46.548000000000002</v>
      </c>
      <c r="J486" s="11">
        <v>165.25399999999999</v>
      </c>
      <c r="K486" s="11">
        <v>0.46</v>
      </c>
      <c r="L486" s="15">
        <f t="shared" si="7"/>
        <v>17.010000000000002</v>
      </c>
      <c r="M486" s="14">
        <f>IF(Tabla15[[#This Row],[COMBUSTIBLE]]="PETRÓLEO",L486*$Q$2,L486*$Q$4)</f>
        <v>20429.010000000002</v>
      </c>
      <c r="N486" s="12" t="str">
        <f>IF(OR(WEEKDAY(Tabla15[[#This Row],[Fecha]],2)=6,WEEKDAY(Tabla15[[#This Row],[Fecha]],2)=7),"Fin de semana","Semana")</f>
        <v>Semana</v>
      </c>
    </row>
    <row r="487" spans="1:14" ht="12.75" customHeight="1" x14ac:dyDescent="0.25">
      <c r="A487" s="11" t="str">
        <f>_xlfn.XLOOKUP(Tabla15[[#This Row],[GPS]],Hoja3!A:A,Hoja3!B:B)</f>
        <v>CAMIONETA</v>
      </c>
      <c r="B487" s="11" t="str">
        <f>_xlfn.XLOOKUP(GPS!D487,Hoja3!A:A,Hoja3!D:D)</f>
        <v>PETRÓLEO</v>
      </c>
      <c r="C487" s="12" t="str">
        <f>_xlfn.XLOOKUP(Tabla15[[#This Row],[GPS]],Hoja3!A:A,Hoja3!C:C)</f>
        <v>CAMPO RULO</v>
      </c>
      <c r="D487" s="12" t="s">
        <v>135</v>
      </c>
      <c r="E487" s="13">
        <v>46146</v>
      </c>
      <c r="F487" s="11">
        <v>3.6217000000000001</v>
      </c>
      <c r="G487" s="11">
        <v>44.01</v>
      </c>
      <c r="H487" s="11">
        <v>1</v>
      </c>
      <c r="I487" s="11">
        <v>15.4505</v>
      </c>
      <c r="J487" s="11">
        <v>198.81219999999999</v>
      </c>
      <c r="K487" s="11">
        <v>0.45</v>
      </c>
      <c r="L487" s="15">
        <f t="shared" si="7"/>
        <v>4.8899999999999997</v>
      </c>
      <c r="M487" s="14">
        <f>IF(Tabla15[[#This Row],[COMBUSTIBLE]]="PETRÓLEO",L487*$Q$2,L487*$Q$4)</f>
        <v>5872.8899999999994</v>
      </c>
      <c r="N487" s="12" t="str">
        <f>IF(OR(WEEKDAY(Tabla15[[#This Row],[Fecha]],2)=6,WEEKDAY(Tabla15[[#This Row],[Fecha]],2)=7),"Fin de semana","Semana")</f>
        <v>Semana</v>
      </c>
    </row>
    <row r="488" spans="1:14" ht="12.75" customHeight="1" x14ac:dyDescent="0.25">
      <c r="A488" s="11" t="str">
        <f>_xlfn.XLOOKUP(Tabla15[[#This Row],[GPS]],Hoja3!A:A,Hoja3!B:B)</f>
        <v>TRACTOR</v>
      </c>
      <c r="B488" s="11" t="str">
        <f>_xlfn.XLOOKUP(GPS!D488,Hoja3!A:A,Hoja3!D:D)</f>
        <v>PETRÓLEO</v>
      </c>
      <c r="C488" s="12" t="str">
        <f>_xlfn.XLOOKUP(Tabla15[[#This Row],[GPS]],Hoja3!A:A,Hoja3!C:C)</f>
        <v>T4</v>
      </c>
      <c r="D488" s="12" t="s">
        <v>23</v>
      </c>
      <c r="E488" s="13">
        <v>46146</v>
      </c>
      <c r="F488" s="11">
        <v>3.3706</v>
      </c>
      <c r="G488" s="11">
        <v>13.31</v>
      </c>
      <c r="H488" s="11">
        <v>1</v>
      </c>
      <c r="I488" s="11">
        <v>5.5854999999999997</v>
      </c>
      <c r="J488" s="11">
        <v>65.301500000000004</v>
      </c>
      <c r="K488" s="11">
        <v>0.42</v>
      </c>
      <c r="L488" s="15">
        <f t="shared" si="7"/>
        <v>2.2183333333333333</v>
      </c>
      <c r="M488" s="14">
        <f>IF(Tabla15[[#This Row],[COMBUSTIBLE]]="PETRÓLEO",L488*$Q$2,L488*$Q$4)</f>
        <v>2664.2183333333332</v>
      </c>
      <c r="N488" s="12" t="str">
        <f>IF(OR(WEEKDAY(Tabla15[[#This Row],[Fecha]],2)=6,WEEKDAY(Tabla15[[#This Row],[Fecha]],2)=7),"Fin de semana","Semana")</f>
        <v>Semana</v>
      </c>
    </row>
    <row r="489" spans="1:14" ht="12.75" customHeight="1" x14ac:dyDescent="0.25">
      <c r="A489" s="11" t="str">
        <f>_xlfn.XLOOKUP(Tabla15[[#This Row],[GPS]],Hoja3!A:A,Hoja3!B:B)</f>
        <v>CAMIONETA</v>
      </c>
      <c r="B489" s="11" t="str">
        <f>_xlfn.XLOOKUP(GPS!D489,Hoja3!A:A,Hoja3!D:D)</f>
        <v>PETRÓLEO</v>
      </c>
      <c r="C489" s="12" t="str">
        <f>_xlfn.XLOOKUP(Tabla15[[#This Row],[GPS]],Hoja3!A:A,Hoja3!C:C)</f>
        <v>CAMPO CERRILLOS</v>
      </c>
      <c r="D489" s="12" t="s">
        <v>121</v>
      </c>
      <c r="E489" s="13">
        <v>46146</v>
      </c>
      <c r="F489" s="11">
        <v>3.3281000000000001</v>
      </c>
      <c r="G489" s="11">
        <v>143.05000000000001</v>
      </c>
      <c r="H489" s="11">
        <v>1</v>
      </c>
      <c r="I489" s="11">
        <v>47.804699999999997</v>
      </c>
      <c r="J489" s="11">
        <v>194.9786</v>
      </c>
      <c r="K489" s="11">
        <v>0.42</v>
      </c>
      <c r="L489" s="15">
        <f t="shared" si="7"/>
        <v>15.894444444444446</v>
      </c>
      <c r="M489" s="14">
        <f>IF(Tabla15[[#This Row],[COMBUSTIBLE]]="PETRÓLEO",L489*$Q$2,L489*$Q$4)</f>
        <v>19089.227777777778</v>
      </c>
      <c r="N489" s="12" t="str">
        <f>IF(OR(WEEKDAY(Tabla15[[#This Row],[Fecha]],2)=6,WEEKDAY(Tabla15[[#This Row],[Fecha]],2)=7),"Fin de semana","Semana")</f>
        <v>Semana</v>
      </c>
    </row>
    <row r="490" spans="1:14" ht="12.75" customHeight="1" x14ac:dyDescent="0.25">
      <c r="A490" s="11" t="str">
        <f>_xlfn.XLOOKUP(Tabla15[[#This Row],[GPS]],Hoja3!A:A,Hoja3!B:B)</f>
        <v>CAMIONETA</v>
      </c>
      <c r="B490" s="11" t="str">
        <f>_xlfn.XLOOKUP(GPS!D490,Hoja3!A:A,Hoja3!D:D)</f>
        <v>PETRÓLEO</v>
      </c>
      <c r="C490" s="12" t="str">
        <f>_xlfn.XLOOKUP(Tabla15[[#This Row],[GPS]],Hoja3!A:A,Hoja3!C:C)</f>
        <v>CAMPO PAINE</v>
      </c>
      <c r="D490" s="12" t="s">
        <v>131</v>
      </c>
      <c r="E490" s="13">
        <v>46146</v>
      </c>
      <c r="F490" s="11">
        <v>2.5649999999999999</v>
      </c>
      <c r="G490" s="11">
        <v>27.11</v>
      </c>
      <c r="H490" s="11">
        <v>1</v>
      </c>
      <c r="I490" s="11">
        <v>13.8933</v>
      </c>
      <c r="J490" s="11">
        <v>52.541200000000003</v>
      </c>
      <c r="K490" s="11">
        <v>0.32</v>
      </c>
      <c r="L490" s="15">
        <f t="shared" si="7"/>
        <v>3.0122222222222224</v>
      </c>
      <c r="M490" s="14">
        <f>IF(Tabla15[[#This Row],[COMBUSTIBLE]]="PETRÓLEO",L490*$Q$2,L490*$Q$4)</f>
        <v>3617.6788888888891</v>
      </c>
      <c r="N490" s="12" t="str">
        <f>IF(OR(WEEKDAY(Tabla15[[#This Row],[Fecha]],2)=6,WEEKDAY(Tabla15[[#This Row],[Fecha]],2)=7),"Fin de semana","Semana")</f>
        <v>Semana</v>
      </c>
    </row>
    <row r="491" spans="1:14" ht="12.75" customHeight="1" x14ac:dyDescent="0.25">
      <c r="A491" s="11" t="str">
        <f>_xlfn.XLOOKUP(Tabla15[[#This Row],[GPS]],Hoja3!A:A,Hoja3!B:B)</f>
        <v>TRACTOR</v>
      </c>
      <c r="B491" s="11" t="str">
        <f>_xlfn.XLOOKUP(GPS!D491,Hoja3!A:A,Hoja3!D:D)</f>
        <v>PETRÓLEO</v>
      </c>
      <c r="C491" s="12" t="str">
        <f>_xlfn.XLOOKUP(Tabla15[[#This Row],[GPS]],Hoja3!A:A,Hoja3!C:C)</f>
        <v>T11</v>
      </c>
      <c r="D491" s="12" t="s">
        <v>15</v>
      </c>
      <c r="E491" s="13">
        <v>46146</v>
      </c>
      <c r="F491" s="11">
        <v>0.55669999999999997</v>
      </c>
      <c r="G491" s="11">
        <v>5.56</v>
      </c>
      <c r="H491" s="11">
        <v>1</v>
      </c>
      <c r="I491" s="11">
        <v>9.3473000000000006</v>
      </c>
      <c r="J491" s="11">
        <v>24.446400000000001</v>
      </c>
      <c r="K491" s="11">
        <v>7.0000000000000007E-2</v>
      </c>
      <c r="L491" s="15">
        <f t="shared" si="7"/>
        <v>0.92666666666666664</v>
      </c>
      <c r="M491" s="14">
        <f>IF(Tabla15[[#This Row],[COMBUSTIBLE]]="PETRÓLEO",L491*$Q$2,L491*$Q$4)</f>
        <v>1112.9266666666667</v>
      </c>
      <c r="N491" s="12" t="str">
        <f>IF(OR(WEEKDAY(Tabla15[[#This Row],[Fecha]],2)=6,WEEKDAY(Tabla15[[#This Row],[Fecha]],2)=7),"Fin de semana","Semana")</f>
        <v>Semana</v>
      </c>
    </row>
    <row r="492" spans="1:14" ht="12.75" customHeight="1" x14ac:dyDescent="0.25">
      <c r="A492" s="11" t="str">
        <f>_xlfn.XLOOKUP(Tabla15[[#This Row],[GPS]],Hoja3!A:A,Hoja3!B:B)</f>
        <v>TRACTOR</v>
      </c>
      <c r="B492" s="11" t="str">
        <f>_xlfn.XLOOKUP(GPS!D492,Hoja3!A:A,Hoja3!D:D)</f>
        <v>PETRÓLEO</v>
      </c>
      <c r="C492" s="12" t="str">
        <f>_xlfn.XLOOKUP(Tabla15[[#This Row],[GPS]],Hoja3!A:A,Hoja3!C:C)</f>
        <v>T13</v>
      </c>
      <c r="D492" s="12" t="s">
        <v>19</v>
      </c>
      <c r="E492" s="13">
        <v>46146</v>
      </c>
      <c r="F492" s="11">
        <v>7.4200000000000002E-2</v>
      </c>
      <c r="G492" s="11">
        <v>7.0000000000000007E-2</v>
      </c>
      <c r="H492" s="11">
        <v>0</v>
      </c>
      <c r="I492" s="11">
        <v>2.4847000000000001</v>
      </c>
      <c r="J492" s="11">
        <v>12.204700000000001</v>
      </c>
      <c r="K492" s="11">
        <v>0.01</v>
      </c>
      <c r="L492" s="15">
        <f t="shared" si="7"/>
        <v>1.1666666666666667E-2</v>
      </c>
      <c r="M492" s="14">
        <f>IF(Tabla15[[#This Row],[COMBUSTIBLE]]="PETRÓLEO",L492*$Q$2,L492*$Q$4)</f>
        <v>14.011666666666667</v>
      </c>
      <c r="N492" s="12" t="str">
        <f>IF(OR(WEEKDAY(Tabla15[[#This Row],[Fecha]],2)=6,WEEKDAY(Tabla15[[#This Row],[Fecha]],2)=7),"Fin de semana","Semana")</f>
        <v>Semana</v>
      </c>
    </row>
    <row r="493" spans="1:14" ht="12.75" customHeight="1" x14ac:dyDescent="0.25">
      <c r="A493" s="11" t="str">
        <f>_xlfn.XLOOKUP(Tabla15[[#This Row],[GPS]],Hoja3!A:A,Hoja3!B:B)</f>
        <v>TRACTOR</v>
      </c>
      <c r="B493" s="11" t="str">
        <f>_xlfn.XLOOKUP(GPS!D493,Hoja3!A:A,Hoja3!D:D)</f>
        <v>PETRÓLEO</v>
      </c>
      <c r="C493" s="12" t="str">
        <f>_xlfn.XLOOKUP(Tabla15[[#This Row],[GPS]],Hoja3!A:A,Hoja3!C:C)</f>
        <v>T9</v>
      </c>
      <c r="D493" s="12" t="s">
        <v>28</v>
      </c>
      <c r="E493" s="13">
        <v>46146</v>
      </c>
      <c r="F493" s="11">
        <v>2.69E-2</v>
      </c>
      <c r="G493" s="11">
        <v>0.15</v>
      </c>
      <c r="H493" s="11">
        <v>0</v>
      </c>
      <c r="I493" s="11">
        <v>4.2569999999999997</v>
      </c>
      <c r="J493" s="11">
        <v>14.204800000000001</v>
      </c>
      <c r="K493" s="11">
        <v>0</v>
      </c>
      <c r="L493" s="15">
        <f t="shared" si="7"/>
        <v>2.4999999999999998E-2</v>
      </c>
      <c r="M493" s="14">
        <f>IF(Tabla15[[#This Row],[COMBUSTIBLE]]="PETRÓLEO",L493*$Q$2,L493*$Q$4)</f>
        <v>30.024999999999999</v>
      </c>
      <c r="N493" s="12" t="str">
        <f>IF(OR(WEEKDAY(Tabla15[[#This Row],[Fecha]],2)=6,WEEKDAY(Tabla15[[#This Row],[Fecha]],2)=7),"Fin de semana","Semana")</f>
        <v>Semana</v>
      </c>
    </row>
    <row r="494" spans="1:14" ht="12.75" customHeight="1" x14ac:dyDescent="0.25">
      <c r="A494" s="11" t="str">
        <f>_xlfn.XLOOKUP(Tabla15[[#This Row],[GPS]],Hoja3!A:A,Hoja3!B:B)</f>
        <v>TRACTOR</v>
      </c>
      <c r="B494" s="11" t="str">
        <f>_xlfn.XLOOKUP(GPS!D494,Hoja3!A:A,Hoja3!D:D)</f>
        <v>PETRÓLEO</v>
      </c>
      <c r="C494" s="12" t="str">
        <f>_xlfn.XLOOKUP(Tabla15[[#This Row],[GPS]],Hoja3!A:A,Hoja3!C:C)</f>
        <v>T14</v>
      </c>
      <c r="D494" s="12" t="s">
        <v>21</v>
      </c>
      <c r="E494" s="13">
        <v>46146</v>
      </c>
      <c r="F494" s="11">
        <v>2.5000000000000001E-3</v>
      </c>
      <c r="G494" s="11">
        <v>0</v>
      </c>
      <c r="H494" s="11">
        <v>0</v>
      </c>
      <c r="I494" s="11">
        <v>0</v>
      </c>
      <c r="J494" s="11">
        <v>0</v>
      </c>
      <c r="K494" s="11">
        <v>0</v>
      </c>
      <c r="L494" s="15">
        <f t="shared" si="7"/>
        <v>0</v>
      </c>
      <c r="M494" s="14">
        <f>IF(Tabla15[[#This Row],[COMBUSTIBLE]]="PETRÓLEO",L494*$Q$2,L494*$Q$4)</f>
        <v>0</v>
      </c>
      <c r="N494" s="12" t="str">
        <f>IF(OR(WEEKDAY(Tabla15[[#This Row],[Fecha]],2)=6,WEEKDAY(Tabla15[[#This Row],[Fecha]],2)=7),"Fin de semana","Semana")</f>
        <v>Semana</v>
      </c>
    </row>
    <row r="495" spans="1:14" ht="12.75" customHeight="1" x14ac:dyDescent="0.25">
      <c r="A495" s="11" t="str">
        <f>_xlfn.XLOOKUP(Tabla15[[#This Row],[GPS]],Hoja3!A:A,Hoja3!B:B)</f>
        <v>CAMIONETA</v>
      </c>
      <c r="B495" s="11" t="str">
        <f>_xlfn.XLOOKUP(GPS!D495,Hoja3!A:A,Hoja3!D:D)</f>
        <v>BENCINA</v>
      </c>
      <c r="C495" s="12" t="str">
        <f>_xlfn.XLOOKUP(Tabla15[[#This Row],[GPS]],Hoja3!A:A,Hoja3!C:C)</f>
        <v>VG CERRILLOS</v>
      </c>
      <c r="D495" s="12" t="s">
        <v>137</v>
      </c>
      <c r="E495" s="13">
        <v>46146</v>
      </c>
      <c r="F495" s="11">
        <v>0</v>
      </c>
      <c r="G495" s="11">
        <v>22.56</v>
      </c>
      <c r="H495" s="11">
        <v>1</v>
      </c>
      <c r="I495" s="11">
        <v>13.388</v>
      </c>
      <c r="J495" s="11">
        <v>34.169400000000003</v>
      </c>
      <c r="K495" s="11">
        <v>0</v>
      </c>
      <c r="L495" s="15">
        <f t="shared" si="7"/>
        <v>2.0509090909090908</v>
      </c>
      <c r="M495" s="14">
        <f>IF(Tabla15[[#This Row],[COMBUSTIBLE]]="PETRÓLEO",L495*$Q$2,L495*$Q$4)</f>
        <v>3178.9090909090905</v>
      </c>
      <c r="N495" s="12" t="str">
        <f>IF(OR(WEEKDAY(Tabla15[[#This Row],[Fecha]],2)=6,WEEKDAY(Tabla15[[#This Row],[Fecha]],2)=7),"Fin de semana","Semana")</f>
        <v>Semana</v>
      </c>
    </row>
    <row r="496" spans="1:14" ht="12.75" customHeight="1" x14ac:dyDescent="0.25">
      <c r="A496" s="11" t="str">
        <f>_xlfn.XLOOKUP(Tabla15[[#This Row],[GPS]],Hoja3!A:A,Hoja3!B:B)</f>
        <v>CAMIONETA</v>
      </c>
      <c r="B496" s="11" t="str">
        <f>_xlfn.XLOOKUP(GPS!D496,Hoja3!A:A,Hoja3!D:D)</f>
        <v>BENCINA</v>
      </c>
      <c r="C496" s="12" t="str">
        <f>_xlfn.XLOOKUP(Tabla15[[#This Row],[GPS]],Hoja3!A:A,Hoja3!C:C)</f>
        <v>VG PIÑALEO</v>
      </c>
      <c r="D496" s="12" t="s">
        <v>114</v>
      </c>
      <c r="E496" s="13">
        <v>46146</v>
      </c>
      <c r="F496" s="11">
        <v>0</v>
      </c>
      <c r="G496" s="11">
        <v>40.79</v>
      </c>
      <c r="H496" s="11">
        <v>1</v>
      </c>
      <c r="I496" s="11">
        <v>33.586500000000001</v>
      </c>
      <c r="J496" s="11">
        <v>95</v>
      </c>
      <c r="K496" s="11">
        <v>0</v>
      </c>
      <c r="L496" s="15">
        <f t="shared" si="7"/>
        <v>3.708181818181818</v>
      </c>
      <c r="M496" s="14">
        <f>IF(Tabla15[[#This Row],[COMBUSTIBLE]]="PETRÓLEO",L496*$Q$2,L496*$Q$4)</f>
        <v>5747.681818181818</v>
      </c>
      <c r="N496" s="12" t="str">
        <f>IF(OR(WEEKDAY(Tabla15[[#This Row],[Fecha]],2)=6,WEEKDAY(Tabla15[[#This Row],[Fecha]],2)=7),"Fin de semana","Semana")</f>
        <v>Semana</v>
      </c>
    </row>
    <row r="497" spans="1:14" ht="12.75" customHeight="1" x14ac:dyDescent="0.25">
      <c r="A497" s="11" t="str">
        <f>_xlfn.XLOOKUP(Tabla15[[#This Row],[GPS]],Hoja3!A:A,Hoja3!B:B)</f>
        <v>TRACTOR</v>
      </c>
      <c r="B497" s="11" t="str">
        <f>_xlfn.XLOOKUP(GPS!D497,Hoja3!A:A,Hoja3!D:D)</f>
        <v>PETRÓLEO</v>
      </c>
      <c r="C497" s="12" t="str">
        <f>_xlfn.XLOOKUP(Tabla15[[#This Row],[GPS]],Hoja3!A:A,Hoja3!C:C)</f>
        <v>T12</v>
      </c>
      <c r="D497" s="12" t="s">
        <v>17</v>
      </c>
      <c r="E497" s="13">
        <v>46146</v>
      </c>
      <c r="F497" s="11">
        <v>0</v>
      </c>
      <c r="G497" s="11">
        <v>0.04</v>
      </c>
      <c r="H497" s="11">
        <v>0</v>
      </c>
      <c r="I497" s="11">
        <v>7.5346000000000002</v>
      </c>
      <c r="J497" s="11">
        <v>16.167999999999999</v>
      </c>
      <c r="K497" s="11">
        <v>0</v>
      </c>
      <c r="L497" s="15">
        <f t="shared" si="7"/>
        <v>6.6666666666666671E-3</v>
      </c>
      <c r="M497" s="14">
        <f>IF(Tabla15[[#This Row],[COMBUSTIBLE]]="PETRÓLEO",L497*$Q$2,L497*$Q$4)</f>
        <v>8.0066666666666677</v>
      </c>
      <c r="N497" s="12" t="str">
        <f>IF(OR(WEEKDAY(Tabla15[[#This Row],[Fecha]],2)=6,WEEKDAY(Tabla15[[#This Row],[Fecha]],2)=7),"Fin de semana","Semana")</f>
        <v>Semana</v>
      </c>
    </row>
    <row r="498" spans="1:14" ht="12.75" customHeight="1" x14ac:dyDescent="0.25">
      <c r="A498" s="11" t="str">
        <f>_xlfn.XLOOKUP(Tabla15[[#This Row],[GPS]],Hoja3!A:A,Hoja3!B:B)</f>
        <v>CAMIONETA</v>
      </c>
      <c r="B498" s="11" t="str">
        <f>_xlfn.XLOOKUP(GPS!D498,Hoja3!A:A,Hoja3!D:D)</f>
        <v>PETRÓLEO</v>
      </c>
      <c r="C498" s="12" t="str">
        <f>_xlfn.XLOOKUP(Tabla15[[#This Row],[GPS]],Hoja3!A:A,Hoja3!C:C)</f>
        <v>SERGIO ROJAS</v>
      </c>
      <c r="D498" s="12" t="s">
        <v>128</v>
      </c>
      <c r="E498" s="13">
        <v>46146</v>
      </c>
      <c r="F498" s="11">
        <v>0</v>
      </c>
      <c r="G498" s="11">
        <v>96.23</v>
      </c>
      <c r="H498" s="11">
        <v>1</v>
      </c>
      <c r="I498" s="11">
        <v>28.648399999999999</v>
      </c>
      <c r="J498" s="11">
        <v>114.0001</v>
      </c>
      <c r="K498" s="11">
        <v>0</v>
      </c>
      <c r="L498" s="15">
        <f t="shared" si="7"/>
        <v>10.692222222222222</v>
      </c>
      <c r="M498" s="14">
        <f>IF(Tabla15[[#This Row],[COMBUSTIBLE]]="PETRÓLEO",L498*$Q$2,L498*$Q$4)</f>
        <v>12841.358888888888</v>
      </c>
      <c r="N498" s="12" t="str">
        <f>IF(OR(WEEKDAY(Tabla15[[#This Row],[Fecha]],2)=6,WEEKDAY(Tabla15[[#This Row],[Fecha]],2)=7),"Fin de semana","Semana")</f>
        <v>Semana</v>
      </c>
    </row>
    <row r="499" spans="1:14" ht="12.75" customHeight="1" x14ac:dyDescent="0.25">
      <c r="A499" s="11" t="str">
        <f>_xlfn.XLOOKUP(Tabla15[[#This Row],[GPS]],Hoja3!A:A,Hoja3!B:B)</f>
        <v>CAMIONETA</v>
      </c>
      <c r="B499" s="11" t="str">
        <f>_xlfn.XLOOKUP(GPS!D499,Hoja3!A:A,Hoja3!D:D)</f>
        <v>BENCINA</v>
      </c>
      <c r="C499" s="12" t="str">
        <f>_xlfn.XLOOKUP(Tabla15[[#This Row],[GPS]],Hoja3!A:A,Hoja3!C:C)</f>
        <v>VG GERARDO</v>
      </c>
      <c r="D499" s="12" t="s">
        <v>118</v>
      </c>
      <c r="E499" s="13">
        <v>46146</v>
      </c>
      <c r="F499" s="11">
        <v>0</v>
      </c>
      <c r="G499" s="11">
        <v>70.599999999999994</v>
      </c>
      <c r="H499" s="11">
        <v>1</v>
      </c>
      <c r="I499" s="11">
        <v>27.285299999999999</v>
      </c>
      <c r="J499" s="11">
        <v>105.0454</v>
      </c>
      <c r="K499" s="11">
        <v>0</v>
      </c>
      <c r="L499" s="15">
        <f t="shared" si="7"/>
        <v>6.418181818181818</v>
      </c>
      <c r="M499" s="14">
        <f>IF(Tabla15[[#This Row],[COMBUSTIBLE]]="PETRÓLEO",L499*$Q$2,L499*$Q$4)</f>
        <v>9948.181818181818</v>
      </c>
      <c r="N499" s="12" t="str">
        <f>IF(OR(WEEKDAY(Tabla15[[#This Row],[Fecha]],2)=6,WEEKDAY(Tabla15[[#This Row],[Fecha]],2)=7),"Fin de semana","Semana")</f>
        <v>Semana</v>
      </c>
    </row>
    <row r="500" spans="1:14" ht="12.75" customHeight="1" x14ac:dyDescent="0.25">
      <c r="A500" s="11" t="str">
        <f>_xlfn.XLOOKUP(Tabla15[[#This Row],[GPS]],Hoja3!A:A,Hoja3!B:B)</f>
        <v>TRACTOR</v>
      </c>
      <c r="B500" s="11" t="str">
        <f>_xlfn.XLOOKUP(GPS!D500,Hoja3!A:A,Hoja3!D:D)</f>
        <v>PETRÓLEO</v>
      </c>
      <c r="C500" s="12" t="str">
        <f>_xlfn.XLOOKUP(Tabla15[[#This Row],[GPS]],Hoja3!A:A,Hoja3!C:C)</f>
        <v>T7</v>
      </c>
      <c r="D500" s="12" t="s">
        <v>26</v>
      </c>
      <c r="E500" s="13">
        <v>46150</v>
      </c>
      <c r="F500" s="11">
        <v>15.4886</v>
      </c>
      <c r="G500" s="11">
        <v>9.2899999999999991</v>
      </c>
      <c r="H500" s="11">
        <v>1</v>
      </c>
      <c r="I500" s="11">
        <v>4.4801000000000002</v>
      </c>
      <c r="J500" s="11">
        <v>21.149799999999999</v>
      </c>
      <c r="K500" s="11">
        <v>1.94</v>
      </c>
      <c r="L500" s="15">
        <f t="shared" si="7"/>
        <v>1.5483333333333331</v>
      </c>
      <c r="M500" s="14">
        <f>IF(Tabla15[[#This Row],[COMBUSTIBLE]]="PETRÓLEO",L500*$Q$2,L500*$Q$4)</f>
        <v>1859.5483333333332</v>
      </c>
      <c r="N500" s="12" t="str">
        <f>IF(OR(WEEKDAY(Tabla15[[#This Row],[Fecha]],2)=6,WEEKDAY(Tabla15[[#This Row],[Fecha]],2)=7),"Fin de semana","Semana")</f>
        <v>Semana</v>
      </c>
    </row>
    <row r="501" spans="1:14" ht="12.75" customHeight="1" x14ac:dyDescent="0.25">
      <c r="A501" s="11" t="str">
        <f>_xlfn.XLOOKUP(Tabla15[[#This Row],[GPS]],Hoja3!A:A,Hoja3!B:B)</f>
        <v>TRACTOR</v>
      </c>
      <c r="B501" s="11" t="str">
        <f>_xlfn.XLOOKUP(GPS!D501,Hoja3!A:A,Hoja3!D:D)</f>
        <v>PETRÓLEO</v>
      </c>
      <c r="C501" s="12" t="str">
        <f>_xlfn.XLOOKUP(Tabla15[[#This Row],[GPS]],Hoja3!A:A,Hoja3!C:C)</f>
        <v>T7</v>
      </c>
      <c r="D501" s="12" t="s">
        <v>26</v>
      </c>
      <c r="E501" s="13">
        <v>46147</v>
      </c>
      <c r="F501" s="11">
        <v>8.7847000000000008</v>
      </c>
      <c r="G501" s="11">
        <v>24.64</v>
      </c>
      <c r="H501" s="11">
        <v>1</v>
      </c>
      <c r="I501" s="11">
        <v>4.9686000000000003</v>
      </c>
      <c r="J501" s="11">
        <v>17.7607</v>
      </c>
      <c r="K501" s="11">
        <v>1.1000000000000001</v>
      </c>
      <c r="L501" s="15">
        <f t="shared" si="7"/>
        <v>4.1066666666666665</v>
      </c>
      <c r="M501" s="14">
        <f>IF(Tabla15[[#This Row],[COMBUSTIBLE]]="PETRÓLEO",L501*$Q$2,L501*$Q$4)</f>
        <v>4932.1066666666666</v>
      </c>
      <c r="N501" s="12" t="str">
        <f>IF(OR(WEEKDAY(Tabla15[[#This Row],[Fecha]],2)=6,WEEKDAY(Tabla15[[#This Row],[Fecha]],2)=7),"Fin de semana","Semana")</f>
        <v>Semana</v>
      </c>
    </row>
    <row r="502" spans="1:14" ht="12.75" customHeight="1" x14ac:dyDescent="0.25">
      <c r="A502" s="11" t="str">
        <f>_xlfn.XLOOKUP(Tabla15[[#This Row],[GPS]],Hoja3!A:A,Hoja3!B:B)</f>
        <v>CAMIONETA</v>
      </c>
      <c r="B502" s="11" t="str">
        <f>_xlfn.XLOOKUP(GPS!D502,Hoja3!A:A,Hoja3!D:D)</f>
        <v>PETRÓLEO</v>
      </c>
      <c r="C502" s="12" t="str">
        <f>_xlfn.XLOOKUP(Tabla15[[#This Row],[GPS]],Hoja3!A:A,Hoja3!C:C)</f>
        <v>CAMPO CERRILLOS</v>
      </c>
      <c r="D502" s="12" t="s">
        <v>121</v>
      </c>
      <c r="E502" s="13">
        <v>46148</v>
      </c>
      <c r="F502" s="11">
        <v>7.1764000000000001</v>
      </c>
      <c r="G502" s="11">
        <v>11.43</v>
      </c>
      <c r="H502" s="11">
        <v>1</v>
      </c>
      <c r="I502" s="11">
        <v>14.040800000000001</v>
      </c>
      <c r="J502" s="11">
        <v>36.299199999999999</v>
      </c>
      <c r="K502" s="11">
        <v>0.9</v>
      </c>
      <c r="L502" s="15">
        <f t="shared" si="7"/>
        <v>1.27</v>
      </c>
      <c r="M502" s="14">
        <f>IF(Tabla15[[#This Row],[COMBUSTIBLE]]="PETRÓLEO",L502*$Q$2,L502*$Q$4)</f>
        <v>1525.27</v>
      </c>
      <c r="N502" s="12" t="str">
        <f>IF(OR(WEEKDAY(Tabla15[[#This Row],[Fecha]],2)=6,WEEKDAY(Tabla15[[#This Row],[Fecha]],2)=7),"Fin de semana","Semana")</f>
        <v>Semana</v>
      </c>
    </row>
    <row r="503" spans="1:14" ht="12.75" customHeight="1" x14ac:dyDescent="0.25">
      <c r="A503" s="11" t="str">
        <f>_xlfn.XLOOKUP(Tabla15[[#This Row],[GPS]],Hoja3!A:A,Hoja3!B:B)</f>
        <v>CAMIONETA</v>
      </c>
      <c r="B503" s="11" t="str">
        <f>_xlfn.XLOOKUP(GPS!D503,Hoja3!A:A,Hoja3!D:D)</f>
        <v>PETRÓLEO</v>
      </c>
      <c r="C503" s="12" t="str">
        <f>_xlfn.XLOOKUP(Tabla15[[#This Row],[GPS]],Hoja3!A:A,Hoja3!C:C)</f>
        <v>CAMPO CERRILLOS</v>
      </c>
      <c r="D503" s="12" t="s">
        <v>121</v>
      </c>
      <c r="E503" s="13">
        <v>46149</v>
      </c>
      <c r="F503" s="11">
        <v>6.9749999999999996</v>
      </c>
      <c r="G503" s="11">
        <v>32.94</v>
      </c>
      <c r="H503" s="11">
        <v>1</v>
      </c>
      <c r="I503" s="11">
        <v>24.765799999999999</v>
      </c>
      <c r="J503" s="11">
        <v>77</v>
      </c>
      <c r="K503" s="11">
        <v>0.87</v>
      </c>
      <c r="L503" s="15">
        <f t="shared" si="7"/>
        <v>3.6599999999999997</v>
      </c>
      <c r="M503" s="14">
        <f>IF(Tabla15[[#This Row],[COMBUSTIBLE]]="PETRÓLEO",L503*$Q$2,L503*$Q$4)</f>
        <v>4395.66</v>
      </c>
      <c r="N503" s="12" t="str">
        <f>IF(OR(WEEKDAY(Tabla15[[#This Row],[Fecha]],2)=6,WEEKDAY(Tabla15[[#This Row],[Fecha]],2)=7),"Fin de semana","Semana")</f>
        <v>Semana</v>
      </c>
    </row>
    <row r="504" spans="1:14" ht="12.75" customHeight="1" x14ac:dyDescent="0.25">
      <c r="A504" s="11" t="str">
        <f>_xlfn.XLOOKUP(Tabla15[[#This Row],[GPS]],Hoja3!A:A,Hoja3!B:B)</f>
        <v>CAMIONETA</v>
      </c>
      <c r="B504" s="11" t="str">
        <f>_xlfn.XLOOKUP(GPS!D504,Hoja3!A:A,Hoja3!D:D)</f>
        <v>PETRÓLEO</v>
      </c>
      <c r="C504" s="12" t="str">
        <f>_xlfn.XLOOKUP(Tabla15[[#This Row],[GPS]],Hoja3!A:A,Hoja3!C:C)</f>
        <v>CAMPO CERRILLOS</v>
      </c>
      <c r="D504" s="12" t="s">
        <v>121</v>
      </c>
      <c r="E504" s="13">
        <v>46153</v>
      </c>
      <c r="F504" s="11">
        <v>4.3952999999999998</v>
      </c>
      <c r="G504" s="11">
        <v>141.66</v>
      </c>
      <c r="H504" s="11">
        <v>1</v>
      </c>
      <c r="I504" s="11">
        <v>46.548999999999999</v>
      </c>
      <c r="J504" s="11">
        <v>151.53059999999999</v>
      </c>
      <c r="K504" s="11">
        <v>0.55000000000000004</v>
      </c>
      <c r="L504" s="15">
        <f t="shared" si="7"/>
        <v>15.74</v>
      </c>
      <c r="M504" s="14">
        <f>IF(Tabla15[[#This Row],[COMBUSTIBLE]]="PETRÓLEO",L504*$Q$2,L504*$Q$4)</f>
        <v>18903.740000000002</v>
      </c>
      <c r="N504" s="12" t="str">
        <f>IF(OR(WEEKDAY(Tabla15[[#This Row],[Fecha]],2)=6,WEEKDAY(Tabla15[[#This Row],[Fecha]],2)=7),"Fin de semana","Semana")</f>
        <v>Semana</v>
      </c>
    </row>
    <row r="505" spans="1:14" ht="12.75" customHeight="1" x14ac:dyDescent="0.25">
      <c r="A505" s="11" t="str">
        <f>_xlfn.XLOOKUP(Tabla15[[#This Row],[GPS]],Hoja3!A:A,Hoja3!B:B)</f>
        <v>TRACTOR</v>
      </c>
      <c r="B505" s="11" t="str">
        <f>_xlfn.XLOOKUP(GPS!D505,Hoja3!A:A,Hoja3!D:D)</f>
        <v>PETRÓLEO</v>
      </c>
      <c r="C505" s="12" t="str">
        <f>_xlfn.XLOOKUP(Tabla15[[#This Row],[GPS]],Hoja3!A:A,Hoja3!C:C)</f>
        <v>T7</v>
      </c>
      <c r="D505" s="12" t="s">
        <v>26</v>
      </c>
      <c r="E505" s="13">
        <v>46149</v>
      </c>
      <c r="F505" s="11">
        <v>3.585</v>
      </c>
      <c r="G505" s="11">
        <v>4.88</v>
      </c>
      <c r="H505" s="11">
        <v>1</v>
      </c>
      <c r="I505" s="11">
        <v>5.4916999999999998</v>
      </c>
      <c r="J505" s="11">
        <v>15.316000000000001</v>
      </c>
      <c r="K505" s="11">
        <v>0.45</v>
      </c>
      <c r="L505" s="15">
        <f t="shared" si="7"/>
        <v>0.81333333333333335</v>
      </c>
      <c r="M505" s="14">
        <f>IF(Tabla15[[#This Row],[COMBUSTIBLE]]="PETRÓLEO",L505*$Q$2,L505*$Q$4)</f>
        <v>976.81333333333339</v>
      </c>
      <c r="N505" s="12" t="str">
        <f>IF(OR(WEEKDAY(Tabla15[[#This Row],[Fecha]],2)=6,WEEKDAY(Tabla15[[#This Row],[Fecha]],2)=7),"Fin de semana","Semana")</f>
        <v>Semana</v>
      </c>
    </row>
    <row r="506" spans="1:14" ht="12.75" customHeight="1" x14ac:dyDescent="0.25">
      <c r="A506" s="11" t="str">
        <f>_xlfn.XLOOKUP(Tabla15[[#This Row],[GPS]],Hoja3!A:A,Hoja3!B:B)</f>
        <v>TRACTOR</v>
      </c>
      <c r="B506" s="11" t="str">
        <f>_xlfn.XLOOKUP(GPS!D506,Hoja3!A:A,Hoja3!D:D)</f>
        <v>PETRÓLEO</v>
      </c>
      <c r="C506" s="12" t="str">
        <f>_xlfn.XLOOKUP(Tabla15[[#This Row],[GPS]],Hoja3!A:A,Hoja3!C:C)</f>
        <v>T7</v>
      </c>
      <c r="D506" s="12" t="s">
        <v>26</v>
      </c>
      <c r="E506" s="13">
        <v>46153</v>
      </c>
      <c r="F506" s="11">
        <v>3.4430999999999998</v>
      </c>
      <c r="G506" s="11">
        <v>1.26</v>
      </c>
      <c r="H506" s="11">
        <v>1</v>
      </c>
      <c r="I506" s="11">
        <v>4.5754999999999999</v>
      </c>
      <c r="J506" s="11">
        <v>25.131599999999999</v>
      </c>
      <c r="K506" s="11">
        <v>0.43</v>
      </c>
      <c r="L506" s="15">
        <f t="shared" si="7"/>
        <v>0.21</v>
      </c>
      <c r="M506" s="14">
        <f>IF(Tabla15[[#This Row],[COMBUSTIBLE]]="PETRÓLEO",L506*$Q$2,L506*$Q$4)</f>
        <v>252.20999999999998</v>
      </c>
      <c r="N506" s="12" t="str">
        <f>IF(OR(WEEKDAY(Tabla15[[#This Row],[Fecha]],2)=6,WEEKDAY(Tabla15[[#This Row],[Fecha]],2)=7),"Fin de semana","Semana")</f>
        <v>Semana</v>
      </c>
    </row>
    <row r="507" spans="1:14" ht="12.75" customHeight="1" x14ac:dyDescent="0.25">
      <c r="A507" s="11" t="str">
        <f>_xlfn.XLOOKUP(Tabla15[[#This Row],[GPS]],Hoja3!A:A,Hoja3!B:B)</f>
        <v>CAMIONETA</v>
      </c>
      <c r="B507" s="11" t="str">
        <f>_xlfn.XLOOKUP(GPS!D507,Hoja3!A:A,Hoja3!D:D)</f>
        <v>PETRÓLEO</v>
      </c>
      <c r="C507" s="12" t="str">
        <f>_xlfn.XLOOKUP(Tabla15[[#This Row],[GPS]],Hoja3!A:A,Hoja3!C:C)</f>
        <v>CAMPO RULO</v>
      </c>
      <c r="D507" s="12" t="s">
        <v>135</v>
      </c>
      <c r="E507" s="13">
        <v>46147</v>
      </c>
      <c r="F507" s="11">
        <v>3.4161000000000001</v>
      </c>
      <c r="G507" s="11">
        <v>45.24</v>
      </c>
      <c r="H507" s="11">
        <v>1</v>
      </c>
      <c r="I507" s="11">
        <v>19.351700000000001</v>
      </c>
      <c r="J507" s="11">
        <v>77</v>
      </c>
      <c r="K507" s="11">
        <v>0.43</v>
      </c>
      <c r="L507" s="15">
        <f t="shared" si="7"/>
        <v>5.0266666666666673</v>
      </c>
      <c r="M507" s="14">
        <f>IF(Tabla15[[#This Row],[COMBUSTIBLE]]="PETRÓLEO",L507*$Q$2,L507*$Q$4)</f>
        <v>6037.0266666666676</v>
      </c>
      <c r="N507" s="12" t="str">
        <f>IF(OR(WEEKDAY(Tabla15[[#This Row],[Fecha]],2)=6,WEEKDAY(Tabla15[[#This Row],[Fecha]],2)=7),"Fin de semana","Semana")</f>
        <v>Semana</v>
      </c>
    </row>
    <row r="508" spans="1:14" ht="12.75" customHeight="1" x14ac:dyDescent="0.25">
      <c r="A508" s="11" t="str">
        <f>_xlfn.XLOOKUP(Tabla15[[#This Row],[GPS]],Hoja3!A:A,Hoja3!B:B)</f>
        <v>TRACTOR</v>
      </c>
      <c r="B508" s="11" t="str">
        <f>_xlfn.XLOOKUP(GPS!D508,Hoja3!A:A,Hoja3!D:D)</f>
        <v>PETRÓLEO</v>
      </c>
      <c r="C508" s="12" t="str">
        <f>_xlfn.XLOOKUP(Tabla15[[#This Row],[GPS]],Hoja3!A:A,Hoja3!C:C)</f>
        <v>T4</v>
      </c>
      <c r="D508" s="12" t="s">
        <v>23</v>
      </c>
      <c r="E508" s="13">
        <v>46147</v>
      </c>
      <c r="F508" s="11">
        <v>3.4125000000000001</v>
      </c>
      <c r="G508" s="11">
        <v>14.53</v>
      </c>
      <c r="H508" s="11">
        <v>1</v>
      </c>
      <c r="I508" s="11">
        <v>5.9309000000000003</v>
      </c>
      <c r="J508" s="11">
        <v>26.9999</v>
      </c>
      <c r="K508" s="11">
        <v>0.43</v>
      </c>
      <c r="L508" s="15">
        <f t="shared" si="7"/>
        <v>2.4216666666666664</v>
      </c>
      <c r="M508" s="14">
        <f>IF(Tabla15[[#This Row],[COMBUSTIBLE]]="PETRÓLEO",L508*$Q$2,L508*$Q$4)</f>
        <v>2908.4216666666662</v>
      </c>
      <c r="N508" s="12" t="str">
        <f>IF(OR(WEEKDAY(Tabla15[[#This Row],[Fecha]],2)=6,WEEKDAY(Tabla15[[#This Row],[Fecha]],2)=7),"Fin de semana","Semana")</f>
        <v>Semana</v>
      </c>
    </row>
    <row r="509" spans="1:14" ht="12.75" customHeight="1" x14ac:dyDescent="0.25">
      <c r="A509" s="11" t="str">
        <f>_xlfn.XLOOKUP(Tabla15[[#This Row],[GPS]],Hoja3!A:A,Hoja3!B:B)</f>
        <v>TRACTOR</v>
      </c>
      <c r="B509" s="11" t="str">
        <f>_xlfn.XLOOKUP(GPS!D509,Hoja3!A:A,Hoja3!D:D)</f>
        <v>PETRÓLEO</v>
      </c>
      <c r="C509" s="12" t="str">
        <f>_xlfn.XLOOKUP(Tabla15[[#This Row],[GPS]],Hoja3!A:A,Hoja3!C:C)</f>
        <v>T13</v>
      </c>
      <c r="D509" s="12" t="s">
        <v>19</v>
      </c>
      <c r="E509" s="13">
        <v>46153</v>
      </c>
      <c r="F509" s="11">
        <v>3.3372000000000002</v>
      </c>
      <c r="G509" s="11">
        <v>9.93</v>
      </c>
      <c r="H509" s="11">
        <v>1</v>
      </c>
      <c r="I509" s="11">
        <v>5.0453000000000001</v>
      </c>
      <c r="J509" s="11">
        <v>20.835000000000001</v>
      </c>
      <c r="K509" s="11">
        <v>0.42</v>
      </c>
      <c r="L509" s="15">
        <f t="shared" si="7"/>
        <v>1.655</v>
      </c>
      <c r="M509" s="14">
        <f>IF(Tabla15[[#This Row],[COMBUSTIBLE]]="PETRÓLEO",L509*$Q$2,L509*$Q$4)</f>
        <v>1987.655</v>
      </c>
      <c r="N509" s="12" t="str">
        <f>IF(OR(WEEKDAY(Tabla15[[#This Row],[Fecha]],2)=6,WEEKDAY(Tabla15[[#This Row],[Fecha]],2)=7),"Fin de semana","Semana")</f>
        <v>Semana</v>
      </c>
    </row>
    <row r="510" spans="1:14" ht="12.75" customHeight="1" x14ac:dyDescent="0.25">
      <c r="A510" s="11" t="str">
        <f>_xlfn.XLOOKUP(Tabla15[[#This Row],[GPS]],Hoja3!A:A,Hoja3!B:B)</f>
        <v>CAMIONETA</v>
      </c>
      <c r="B510" s="11" t="str">
        <f>_xlfn.XLOOKUP(GPS!D510,Hoja3!A:A,Hoja3!D:D)</f>
        <v>PETRÓLEO</v>
      </c>
      <c r="C510" s="12" t="str">
        <f>_xlfn.XLOOKUP(Tabla15[[#This Row],[GPS]],Hoja3!A:A,Hoja3!C:C)</f>
        <v>GONZALO GUERRERO</v>
      </c>
      <c r="D510" s="12" t="s">
        <v>126</v>
      </c>
      <c r="E510" s="13">
        <v>46147</v>
      </c>
      <c r="F510" s="11">
        <v>3.1093999999999999</v>
      </c>
      <c r="G510" s="11">
        <v>92.01</v>
      </c>
      <c r="H510" s="11">
        <v>1</v>
      </c>
      <c r="I510" s="11">
        <v>34.492199999999997</v>
      </c>
      <c r="J510" s="11">
        <v>140.0001</v>
      </c>
      <c r="K510" s="11">
        <v>0.39</v>
      </c>
      <c r="L510" s="15">
        <f t="shared" si="7"/>
        <v>10.223333333333334</v>
      </c>
      <c r="M510" s="14">
        <f>IF(Tabla15[[#This Row],[COMBUSTIBLE]]="PETRÓLEO",L510*$Q$2,L510*$Q$4)</f>
        <v>12278.223333333335</v>
      </c>
      <c r="N510" s="12" t="str">
        <f>IF(OR(WEEKDAY(Tabla15[[#This Row],[Fecha]],2)=6,WEEKDAY(Tabla15[[#This Row],[Fecha]],2)=7),"Fin de semana","Semana")</f>
        <v>Semana</v>
      </c>
    </row>
    <row r="511" spans="1:14" ht="12.75" customHeight="1" x14ac:dyDescent="0.25">
      <c r="A511" s="11" t="str">
        <f>_xlfn.XLOOKUP(Tabla15[[#This Row],[GPS]],Hoja3!A:A,Hoja3!B:B)</f>
        <v>CAMIONETA</v>
      </c>
      <c r="B511" s="11" t="str">
        <f>_xlfn.XLOOKUP(GPS!D511,Hoja3!A:A,Hoja3!D:D)</f>
        <v>PETRÓLEO</v>
      </c>
      <c r="C511" s="12" t="str">
        <f>_xlfn.XLOOKUP(Tabla15[[#This Row],[GPS]],Hoja3!A:A,Hoja3!C:C)</f>
        <v>RODRIGO SALINAS</v>
      </c>
      <c r="D511" s="12" t="s">
        <v>109</v>
      </c>
      <c r="E511" s="13">
        <v>46147</v>
      </c>
      <c r="F511" s="11">
        <v>3.0242</v>
      </c>
      <c r="G511" s="11">
        <v>105.15</v>
      </c>
      <c r="H511" s="11">
        <v>1</v>
      </c>
      <c r="I511" s="11">
        <v>42.231200000000001</v>
      </c>
      <c r="J511" s="11">
        <v>137</v>
      </c>
      <c r="K511" s="11">
        <v>0.38</v>
      </c>
      <c r="L511" s="15">
        <f t="shared" si="7"/>
        <v>11.683333333333334</v>
      </c>
      <c r="M511" s="14">
        <f>IF(Tabla15[[#This Row],[COMBUSTIBLE]]="PETRÓLEO",L511*$Q$2,L511*$Q$4)</f>
        <v>14031.683333333334</v>
      </c>
      <c r="N511" s="12" t="str">
        <f>IF(OR(WEEKDAY(Tabla15[[#This Row],[Fecha]],2)=6,WEEKDAY(Tabla15[[#This Row],[Fecha]],2)=7),"Fin de semana","Semana")</f>
        <v>Semana</v>
      </c>
    </row>
    <row r="512" spans="1:14" ht="12.75" customHeight="1" x14ac:dyDescent="0.25">
      <c r="A512" s="11" t="str">
        <f>_xlfn.XLOOKUP(Tabla15[[#This Row],[GPS]],Hoja3!A:A,Hoja3!B:B)</f>
        <v>CAMIONETA</v>
      </c>
      <c r="B512" s="11" t="str">
        <f>_xlfn.XLOOKUP(GPS!D512,Hoja3!A:A,Hoja3!D:D)</f>
        <v>PETRÓLEO</v>
      </c>
      <c r="C512" s="12" t="str">
        <f>_xlfn.XLOOKUP(Tabla15[[#This Row],[GPS]],Hoja3!A:A,Hoja3!C:C)</f>
        <v>GONZALO GUERRERO</v>
      </c>
      <c r="D512" s="12" t="s">
        <v>126</v>
      </c>
      <c r="E512" s="13">
        <v>46149</v>
      </c>
      <c r="F512" s="11">
        <v>2.9106000000000001</v>
      </c>
      <c r="G512" s="11">
        <v>102.64</v>
      </c>
      <c r="H512" s="11">
        <v>1</v>
      </c>
      <c r="I512" s="11">
        <v>39.1038</v>
      </c>
      <c r="J512" s="11">
        <v>121.0001</v>
      </c>
      <c r="K512" s="11">
        <v>0.36</v>
      </c>
      <c r="L512" s="15">
        <f t="shared" si="7"/>
        <v>11.404444444444444</v>
      </c>
      <c r="M512" s="14">
        <f>IF(Tabla15[[#This Row],[COMBUSTIBLE]]="PETRÓLEO",L512*$Q$2,L512*$Q$4)</f>
        <v>13696.737777777777</v>
      </c>
      <c r="N512" s="12" t="str">
        <f>IF(OR(WEEKDAY(Tabla15[[#This Row],[Fecha]],2)=6,WEEKDAY(Tabla15[[#This Row],[Fecha]],2)=7),"Fin de semana","Semana")</f>
        <v>Semana</v>
      </c>
    </row>
    <row r="513" spans="1:14" ht="12.75" customHeight="1" x14ac:dyDescent="0.25">
      <c r="A513" s="11" t="str">
        <f>_xlfn.XLOOKUP(Tabla15[[#This Row],[GPS]],Hoja3!A:A,Hoja3!B:B)</f>
        <v>CAMIONETA</v>
      </c>
      <c r="B513" s="11" t="str">
        <f>_xlfn.XLOOKUP(GPS!D513,Hoja3!A:A,Hoja3!D:D)</f>
        <v>PETRÓLEO</v>
      </c>
      <c r="C513" s="12" t="str">
        <f>_xlfn.XLOOKUP(Tabla15[[#This Row],[GPS]],Hoja3!A:A,Hoja3!C:C)</f>
        <v>CAMPO CERRILLOS</v>
      </c>
      <c r="D513" s="12" t="s">
        <v>121</v>
      </c>
      <c r="E513" s="13">
        <v>46147</v>
      </c>
      <c r="F513" s="11">
        <v>2.8956</v>
      </c>
      <c r="G513" s="11">
        <v>28.13</v>
      </c>
      <c r="H513" s="11">
        <v>1</v>
      </c>
      <c r="I513" s="11">
        <v>13.2989</v>
      </c>
      <c r="J513" s="11">
        <v>32.095199999999998</v>
      </c>
      <c r="K513" s="11">
        <v>0.36</v>
      </c>
      <c r="L513" s="15">
        <f t="shared" si="7"/>
        <v>3.1255555555555556</v>
      </c>
      <c r="M513" s="14">
        <f>IF(Tabla15[[#This Row],[COMBUSTIBLE]]="PETRÓLEO",L513*$Q$2,L513*$Q$4)</f>
        <v>3753.7922222222223</v>
      </c>
      <c r="N513" s="12" t="str">
        <f>IF(OR(WEEKDAY(Tabla15[[#This Row],[Fecha]],2)=6,WEEKDAY(Tabla15[[#This Row],[Fecha]],2)=7),"Fin de semana","Semana")</f>
        <v>Semana</v>
      </c>
    </row>
    <row r="514" spans="1:14" ht="12.75" customHeight="1" x14ac:dyDescent="0.25">
      <c r="A514" s="11" t="str">
        <f>_xlfn.XLOOKUP(Tabla15[[#This Row],[GPS]],Hoja3!A:A,Hoja3!B:B)</f>
        <v>TRACTOR</v>
      </c>
      <c r="B514" s="11" t="str">
        <f>_xlfn.XLOOKUP(GPS!D514,Hoja3!A:A,Hoja3!D:D)</f>
        <v>PETRÓLEO</v>
      </c>
      <c r="C514" s="12" t="str">
        <f>_xlfn.XLOOKUP(Tabla15[[#This Row],[GPS]],Hoja3!A:A,Hoja3!C:C)</f>
        <v>T7</v>
      </c>
      <c r="D514" s="12" t="s">
        <v>26</v>
      </c>
      <c r="E514" s="13">
        <v>46148</v>
      </c>
      <c r="F514" s="11">
        <v>2.8933</v>
      </c>
      <c r="G514" s="11">
        <v>4.54</v>
      </c>
      <c r="H514" s="11">
        <v>1</v>
      </c>
      <c r="I514" s="11">
        <v>5.0457000000000001</v>
      </c>
      <c r="J514" s="11">
        <v>19</v>
      </c>
      <c r="K514" s="11">
        <v>0.36</v>
      </c>
      <c r="L514" s="15">
        <f t="shared" ref="L514:L577" si="8">IF(AND(A514="CAMIONETA",B514="BENCINA"),G514/$Q$5,IF(A514="TRACTOR",G514/$Q$3,G514/$Q$1))</f>
        <v>0.75666666666666671</v>
      </c>
      <c r="M514" s="14">
        <f>IF(Tabla15[[#This Row],[COMBUSTIBLE]]="PETRÓLEO",L514*$Q$2,L514*$Q$4)</f>
        <v>908.75666666666677</v>
      </c>
      <c r="N514" s="12" t="str">
        <f>IF(OR(WEEKDAY(Tabla15[[#This Row],[Fecha]],2)=6,WEEKDAY(Tabla15[[#This Row],[Fecha]],2)=7),"Fin de semana","Semana")</f>
        <v>Semana</v>
      </c>
    </row>
    <row r="515" spans="1:14" ht="12.75" customHeight="1" x14ac:dyDescent="0.25">
      <c r="A515" s="11" t="str">
        <f>_xlfn.XLOOKUP(Tabla15[[#This Row],[GPS]],Hoja3!A:A,Hoja3!B:B)</f>
        <v>CAMIONETA</v>
      </c>
      <c r="B515" s="11" t="str">
        <f>_xlfn.XLOOKUP(GPS!D515,Hoja3!A:A,Hoja3!D:D)</f>
        <v>PETRÓLEO</v>
      </c>
      <c r="C515" s="12" t="str">
        <f>_xlfn.XLOOKUP(Tabla15[[#This Row],[GPS]],Hoja3!A:A,Hoja3!C:C)</f>
        <v>CAMPO PAINE</v>
      </c>
      <c r="D515" s="12" t="s">
        <v>131</v>
      </c>
      <c r="E515" s="13">
        <v>46153</v>
      </c>
      <c r="F515" s="11">
        <v>2.8028</v>
      </c>
      <c r="G515" s="11">
        <v>34.67</v>
      </c>
      <c r="H515" s="11">
        <v>1</v>
      </c>
      <c r="I515" s="11">
        <v>17.1905</v>
      </c>
      <c r="J515" s="11">
        <v>71.635400000000004</v>
      </c>
      <c r="K515" s="11">
        <v>0.35</v>
      </c>
      <c r="L515" s="15">
        <f t="shared" si="8"/>
        <v>3.8522222222222222</v>
      </c>
      <c r="M515" s="14">
        <f>IF(Tabla15[[#This Row],[COMBUSTIBLE]]="PETRÓLEO",L515*$Q$2,L515*$Q$4)</f>
        <v>4626.5188888888888</v>
      </c>
      <c r="N515" s="12" t="str">
        <f>IF(OR(WEEKDAY(Tabla15[[#This Row],[Fecha]],2)=6,WEEKDAY(Tabla15[[#This Row],[Fecha]],2)=7),"Fin de semana","Semana")</f>
        <v>Semana</v>
      </c>
    </row>
    <row r="516" spans="1:14" ht="12.75" customHeight="1" x14ac:dyDescent="0.25">
      <c r="A516" s="11" t="str">
        <f>_xlfn.XLOOKUP(Tabla15[[#This Row],[GPS]],Hoja3!A:A,Hoja3!B:B)</f>
        <v>CAMIONETA</v>
      </c>
      <c r="B516" s="11" t="str">
        <f>_xlfn.XLOOKUP(GPS!D516,Hoja3!A:A,Hoja3!D:D)</f>
        <v>PETRÓLEO</v>
      </c>
      <c r="C516" s="12" t="str">
        <f>_xlfn.XLOOKUP(Tabla15[[#This Row],[GPS]],Hoja3!A:A,Hoja3!C:C)</f>
        <v>CAMPO PAINE</v>
      </c>
      <c r="D516" s="12" t="s">
        <v>131</v>
      </c>
      <c r="E516" s="13">
        <v>46147</v>
      </c>
      <c r="F516" s="11">
        <v>2.6522000000000001</v>
      </c>
      <c r="G516" s="11">
        <v>38.020000000000003</v>
      </c>
      <c r="H516" s="11">
        <v>1</v>
      </c>
      <c r="I516" s="11">
        <v>17.8066</v>
      </c>
      <c r="J516" s="11">
        <v>97.211500000000001</v>
      </c>
      <c r="K516" s="11">
        <v>0.33</v>
      </c>
      <c r="L516" s="15">
        <f t="shared" si="8"/>
        <v>4.2244444444444449</v>
      </c>
      <c r="M516" s="14">
        <f>IF(Tabla15[[#This Row],[COMBUSTIBLE]]="PETRÓLEO",L516*$Q$2,L516*$Q$4)</f>
        <v>5073.557777777778</v>
      </c>
      <c r="N516" s="12" t="str">
        <f>IF(OR(WEEKDAY(Tabla15[[#This Row],[Fecha]],2)=6,WEEKDAY(Tabla15[[#This Row],[Fecha]],2)=7),"Fin de semana","Semana")</f>
        <v>Semana</v>
      </c>
    </row>
    <row r="517" spans="1:14" ht="12.75" customHeight="1" x14ac:dyDescent="0.25">
      <c r="A517" s="11" t="str">
        <f>_xlfn.XLOOKUP(Tabla15[[#This Row],[GPS]],Hoja3!A:A,Hoja3!B:B)</f>
        <v>CAMIONETA</v>
      </c>
      <c r="B517" s="11" t="str">
        <f>_xlfn.XLOOKUP(GPS!D517,Hoja3!A:A,Hoja3!D:D)</f>
        <v>PETRÓLEO</v>
      </c>
      <c r="C517" s="12" t="str">
        <f>_xlfn.XLOOKUP(Tabla15[[#This Row],[GPS]],Hoja3!A:A,Hoja3!C:C)</f>
        <v>CAMPO RULO</v>
      </c>
      <c r="D517" s="12" t="s">
        <v>135</v>
      </c>
      <c r="E517" s="13">
        <v>46153</v>
      </c>
      <c r="F517" s="11">
        <v>2.6143999999999998</v>
      </c>
      <c r="G517" s="11">
        <v>43.18</v>
      </c>
      <c r="H517" s="11">
        <v>1</v>
      </c>
      <c r="I517" s="11">
        <v>18.336400000000001</v>
      </c>
      <c r="J517" s="11">
        <v>92</v>
      </c>
      <c r="K517" s="11">
        <v>0.33</v>
      </c>
      <c r="L517" s="15">
        <f t="shared" si="8"/>
        <v>4.7977777777777781</v>
      </c>
      <c r="M517" s="14">
        <f>IF(Tabla15[[#This Row],[COMBUSTIBLE]]="PETRÓLEO",L517*$Q$2,L517*$Q$4)</f>
        <v>5762.1311111111117</v>
      </c>
      <c r="N517" s="12" t="str">
        <f>IF(OR(WEEKDAY(Tabla15[[#This Row],[Fecha]],2)=6,WEEKDAY(Tabla15[[#This Row],[Fecha]],2)=7),"Fin de semana","Semana")</f>
        <v>Semana</v>
      </c>
    </row>
    <row r="518" spans="1:14" ht="12.75" customHeight="1" x14ac:dyDescent="0.25">
      <c r="A518" s="11" t="str">
        <f>_xlfn.XLOOKUP(Tabla15[[#This Row],[GPS]],Hoja3!A:A,Hoja3!B:B)</f>
        <v>TRACTOR</v>
      </c>
      <c r="B518" s="11" t="str">
        <f>_xlfn.XLOOKUP(GPS!D518,Hoja3!A:A,Hoja3!D:D)</f>
        <v>PETRÓLEO</v>
      </c>
      <c r="C518" s="12" t="str">
        <f>_xlfn.XLOOKUP(Tabla15[[#This Row],[GPS]],Hoja3!A:A,Hoja3!C:C)</f>
        <v>T8</v>
      </c>
      <c r="D518" s="12" t="s">
        <v>27</v>
      </c>
      <c r="E518" s="13">
        <v>46149</v>
      </c>
      <c r="F518" s="11">
        <v>2.4016999999999999</v>
      </c>
      <c r="G518" s="11">
        <v>9.69</v>
      </c>
      <c r="H518" s="11">
        <v>1</v>
      </c>
      <c r="I518" s="11">
        <v>6.0552999999999999</v>
      </c>
      <c r="J518" s="11">
        <v>67.116500000000002</v>
      </c>
      <c r="K518" s="11">
        <v>0.3</v>
      </c>
      <c r="L518" s="15">
        <f t="shared" si="8"/>
        <v>1.615</v>
      </c>
      <c r="M518" s="14">
        <f>IF(Tabla15[[#This Row],[COMBUSTIBLE]]="PETRÓLEO",L518*$Q$2,L518*$Q$4)</f>
        <v>1939.615</v>
      </c>
      <c r="N518" s="12" t="str">
        <f>IF(OR(WEEKDAY(Tabla15[[#This Row],[Fecha]],2)=6,WEEKDAY(Tabla15[[#This Row],[Fecha]],2)=7),"Fin de semana","Semana")</f>
        <v>Semana</v>
      </c>
    </row>
    <row r="519" spans="1:14" ht="12.75" customHeight="1" x14ac:dyDescent="0.25">
      <c r="A519" s="11" t="str">
        <f>_xlfn.XLOOKUP(Tabla15[[#This Row],[GPS]],Hoja3!A:A,Hoja3!B:B)</f>
        <v>CAMIONETA</v>
      </c>
      <c r="B519" s="11" t="str">
        <f>_xlfn.XLOOKUP(GPS!D519,Hoja3!A:A,Hoja3!D:D)</f>
        <v>PETRÓLEO</v>
      </c>
      <c r="C519" s="12" t="str">
        <f>_xlfn.XLOOKUP(Tabla15[[#This Row],[GPS]],Hoja3!A:A,Hoja3!C:C)</f>
        <v>CAMPO RULO</v>
      </c>
      <c r="D519" s="12" t="s">
        <v>135</v>
      </c>
      <c r="E519" s="13">
        <v>46148</v>
      </c>
      <c r="F519" s="11">
        <v>2.3378000000000001</v>
      </c>
      <c r="G519" s="11">
        <v>32.1</v>
      </c>
      <c r="H519" s="11">
        <v>1</v>
      </c>
      <c r="I519" s="11">
        <v>18.55</v>
      </c>
      <c r="J519" s="11">
        <v>137.6592</v>
      </c>
      <c r="K519" s="11">
        <v>0.28999999999999998</v>
      </c>
      <c r="L519" s="15">
        <f t="shared" si="8"/>
        <v>3.5666666666666669</v>
      </c>
      <c r="M519" s="14">
        <f>IF(Tabla15[[#This Row],[COMBUSTIBLE]]="PETRÓLEO",L519*$Q$2,L519*$Q$4)</f>
        <v>4283.5666666666666</v>
      </c>
      <c r="N519" s="12" t="str">
        <f>IF(OR(WEEKDAY(Tabla15[[#This Row],[Fecha]],2)=6,WEEKDAY(Tabla15[[#This Row],[Fecha]],2)=7),"Fin de semana","Semana")</f>
        <v>Semana</v>
      </c>
    </row>
    <row r="520" spans="1:14" ht="12.75" customHeight="1" x14ac:dyDescent="0.25">
      <c r="A520" s="11" t="str">
        <f>_xlfn.XLOOKUP(Tabla15[[#This Row],[GPS]],Hoja3!A:A,Hoja3!B:B)</f>
        <v>CAMIONETA</v>
      </c>
      <c r="B520" s="11" t="str">
        <f>_xlfn.XLOOKUP(GPS!D520,Hoja3!A:A,Hoja3!D:D)</f>
        <v>PETRÓLEO</v>
      </c>
      <c r="C520" s="12" t="str">
        <f>_xlfn.XLOOKUP(Tabla15[[#This Row],[GPS]],Hoja3!A:A,Hoja3!C:C)</f>
        <v>CAMPO CERRILLOS</v>
      </c>
      <c r="D520" s="12" t="s">
        <v>121</v>
      </c>
      <c r="E520" s="13">
        <v>46150</v>
      </c>
      <c r="F520" s="11">
        <v>2.2019000000000002</v>
      </c>
      <c r="G520" s="11">
        <v>21.09</v>
      </c>
      <c r="H520" s="11">
        <v>1</v>
      </c>
      <c r="I520" s="11">
        <v>13.2979</v>
      </c>
      <c r="J520" s="11">
        <v>54.578400000000002</v>
      </c>
      <c r="K520" s="11">
        <v>0.28000000000000003</v>
      </c>
      <c r="L520" s="15">
        <f t="shared" si="8"/>
        <v>2.3433333333333333</v>
      </c>
      <c r="M520" s="14">
        <f>IF(Tabla15[[#This Row],[COMBUSTIBLE]]="PETRÓLEO",L520*$Q$2,L520*$Q$4)</f>
        <v>2814.3433333333332</v>
      </c>
      <c r="N520" s="12" t="str">
        <f>IF(OR(WEEKDAY(Tabla15[[#This Row],[Fecha]],2)=6,WEEKDAY(Tabla15[[#This Row],[Fecha]],2)=7),"Fin de semana","Semana")</f>
        <v>Semana</v>
      </c>
    </row>
    <row r="521" spans="1:14" ht="12.75" customHeight="1" x14ac:dyDescent="0.25">
      <c r="A521" s="11" t="str">
        <f>_xlfn.XLOOKUP(Tabla15[[#This Row],[GPS]],Hoja3!A:A,Hoja3!B:B)</f>
        <v>TRACTOR</v>
      </c>
      <c r="B521" s="11" t="str">
        <f>_xlfn.XLOOKUP(GPS!D521,Hoja3!A:A,Hoja3!D:D)</f>
        <v>PETRÓLEO</v>
      </c>
      <c r="C521" s="12" t="str">
        <f>_xlfn.XLOOKUP(Tabla15[[#This Row],[GPS]],Hoja3!A:A,Hoja3!C:C)</f>
        <v>T4</v>
      </c>
      <c r="D521" s="12" t="s">
        <v>23</v>
      </c>
      <c r="E521" s="13">
        <v>46148</v>
      </c>
      <c r="F521" s="11">
        <v>2.1019000000000001</v>
      </c>
      <c r="G521" s="11">
        <v>7.19</v>
      </c>
      <c r="H521" s="11">
        <v>1</v>
      </c>
      <c r="I521" s="11">
        <v>5.8436000000000003</v>
      </c>
      <c r="J521" s="11">
        <v>69.135199999999998</v>
      </c>
      <c r="K521" s="11">
        <v>0.26</v>
      </c>
      <c r="L521" s="15">
        <f t="shared" si="8"/>
        <v>1.1983333333333335</v>
      </c>
      <c r="M521" s="14">
        <f>IF(Tabla15[[#This Row],[COMBUSTIBLE]]="PETRÓLEO",L521*$Q$2,L521*$Q$4)</f>
        <v>1439.1983333333335</v>
      </c>
      <c r="N521" s="12" t="str">
        <f>IF(OR(WEEKDAY(Tabla15[[#This Row],[Fecha]],2)=6,WEEKDAY(Tabla15[[#This Row],[Fecha]],2)=7),"Fin de semana","Semana")</f>
        <v>Semana</v>
      </c>
    </row>
    <row r="522" spans="1:14" ht="12.75" customHeight="1" x14ac:dyDescent="0.25">
      <c r="A522" s="11" t="str">
        <f>_xlfn.XLOOKUP(Tabla15[[#This Row],[GPS]],Hoja3!A:A,Hoja3!B:B)</f>
        <v>CAMIONETA</v>
      </c>
      <c r="B522" s="11" t="str">
        <f>_xlfn.XLOOKUP(GPS!D522,Hoja3!A:A,Hoja3!D:D)</f>
        <v>PETRÓLEO</v>
      </c>
      <c r="C522" s="12" t="str">
        <f>_xlfn.XLOOKUP(Tabla15[[#This Row],[GPS]],Hoja3!A:A,Hoja3!C:C)</f>
        <v>CAMPO RULO</v>
      </c>
      <c r="D522" s="12" t="s">
        <v>135</v>
      </c>
      <c r="E522" s="13">
        <v>46149</v>
      </c>
      <c r="F522" s="11">
        <v>2.0758000000000001</v>
      </c>
      <c r="G522" s="11">
        <v>27.9</v>
      </c>
      <c r="H522" s="11">
        <v>1</v>
      </c>
      <c r="I522" s="11">
        <v>15.5566</v>
      </c>
      <c r="J522" s="11">
        <v>72</v>
      </c>
      <c r="K522" s="11">
        <v>0.26</v>
      </c>
      <c r="L522" s="15">
        <f t="shared" si="8"/>
        <v>3.0999999999999996</v>
      </c>
      <c r="M522" s="14">
        <f>IF(Tabla15[[#This Row],[COMBUSTIBLE]]="PETRÓLEO",L522*$Q$2,L522*$Q$4)</f>
        <v>3723.0999999999995</v>
      </c>
      <c r="N522" s="12" t="str">
        <f>IF(OR(WEEKDAY(Tabla15[[#This Row],[Fecha]],2)=6,WEEKDAY(Tabla15[[#This Row],[Fecha]],2)=7),"Fin de semana","Semana")</f>
        <v>Semana</v>
      </c>
    </row>
    <row r="523" spans="1:14" ht="12.75" customHeight="1" x14ac:dyDescent="0.25">
      <c r="A523" s="11" t="str">
        <f>_xlfn.XLOOKUP(Tabla15[[#This Row],[GPS]],Hoja3!A:A,Hoja3!B:B)</f>
        <v>TRACTOR</v>
      </c>
      <c r="B523" s="11" t="str">
        <f>_xlfn.XLOOKUP(GPS!D523,Hoja3!A:A,Hoja3!D:D)</f>
        <v>PETRÓLEO</v>
      </c>
      <c r="C523" s="12" t="str">
        <f>_xlfn.XLOOKUP(Tabla15[[#This Row],[GPS]],Hoja3!A:A,Hoja3!C:C)</f>
        <v>T8</v>
      </c>
      <c r="D523" s="12" t="s">
        <v>27</v>
      </c>
      <c r="E523" s="13">
        <v>46148</v>
      </c>
      <c r="F523" s="11">
        <v>2.0747</v>
      </c>
      <c r="G523" s="11">
        <v>7.56</v>
      </c>
      <c r="H523" s="11">
        <v>1</v>
      </c>
      <c r="I523" s="11">
        <v>5.6520999999999999</v>
      </c>
      <c r="J523" s="11">
        <v>30</v>
      </c>
      <c r="K523" s="11">
        <v>0.26</v>
      </c>
      <c r="L523" s="15">
        <f t="shared" si="8"/>
        <v>1.26</v>
      </c>
      <c r="M523" s="14">
        <f>IF(Tabla15[[#This Row],[COMBUSTIBLE]]="PETRÓLEO",L523*$Q$2,L523*$Q$4)</f>
        <v>1513.26</v>
      </c>
      <c r="N523" s="12" t="str">
        <f>IF(OR(WEEKDAY(Tabla15[[#This Row],[Fecha]],2)=6,WEEKDAY(Tabla15[[#This Row],[Fecha]],2)=7),"Fin de semana","Semana")</f>
        <v>Semana</v>
      </c>
    </row>
    <row r="524" spans="1:14" ht="12.75" customHeight="1" x14ac:dyDescent="0.25">
      <c r="A524" s="11" t="str">
        <f>_xlfn.XLOOKUP(Tabla15[[#This Row],[GPS]],Hoja3!A:A,Hoja3!B:B)</f>
        <v>TRACTOR</v>
      </c>
      <c r="B524" s="11" t="str">
        <f>_xlfn.XLOOKUP(GPS!D524,Hoja3!A:A,Hoja3!D:D)</f>
        <v>PETRÓLEO</v>
      </c>
      <c r="C524" s="12" t="str">
        <f>_xlfn.XLOOKUP(Tabla15[[#This Row],[GPS]],Hoja3!A:A,Hoja3!C:C)</f>
        <v>T4</v>
      </c>
      <c r="D524" s="12" t="s">
        <v>23</v>
      </c>
      <c r="E524" s="13">
        <v>46153</v>
      </c>
      <c r="F524" s="11">
        <v>2.0464000000000002</v>
      </c>
      <c r="G524" s="11">
        <v>10.69</v>
      </c>
      <c r="H524" s="11">
        <v>1</v>
      </c>
      <c r="I524" s="11">
        <v>5.8905000000000003</v>
      </c>
      <c r="J524" s="11">
        <v>53.856200000000001</v>
      </c>
      <c r="K524" s="11">
        <v>0.26</v>
      </c>
      <c r="L524" s="15">
        <f t="shared" si="8"/>
        <v>1.7816666666666665</v>
      </c>
      <c r="M524" s="14">
        <f>IF(Tabla15[[#This Row],[COMBUSTIBLE]]="PETRÓLEO",L524*$Q$2,L524*$Q$4)</f>
        <v>2139.7816666666663</v>
      </c>
      <c r="N524" s="12" t="str">
        <f>IF(OR(WEEKDAY(Tabla15[[#This Row],[Fecha]],2)=6,WEEKDAY(Tabla15[[#This Row],[Fecha]],2)=7),"Fin de semana","Semana")</f>
        <v>Semana</v>
      </c>
    </row>
    <row r="525" spans="1:14" ht="12.75" customHeight="1" x14ac:dyDescent="0.25">
      <c r="A525" s="11" t="str">
        <f>_xlfn.XLOOKUP(Tabla15[[#This Row],[GPS]],Hoja3!A:A,Hoja3!B:B)</f>
        <v>TRACTOR</v>
      </c>
      <c r="B525" s="11" t="str">
        <f>_xlfn.XLOOKUP(GPS!D525,Hoja3!A:A,Hoja3!D:D)</f>
        <v>PETRÓLEO</v>
      </c>
      <c r="C525" s="12" t="str">
        <f>_xlfn.XLOOKUP(Tabla15[[#This Row],[GPS]],Hoja3!A:A,Hoja3!C:C)</f>
        <v>T4</v>
      </c>
      <c r="D525" s="12" t="s">
        <v>23</v>
      </c>
      <c r="E525" s="13">
        <v>46149</v>
      </c>
      <c r="F525" s="11">
        <v>2.0264000000000002</v>
      </c>
      <c r="G525" s="11">
        <v>6.54</v>
      </c>
      <c r="H525" s="11">
        <v>1</v>
      </c>
      <c r="I525" s="11">
        <v>5.6768999999999998</v>
      </c>
      <c r="J525" s="11">
        <v>66.6905</v>
      </c>
      <c r="K525" s="11">
        <v>0.25</v>
      </c>
      <c r="L525" s="15">
        <f t="shared" si="8"/>
        <v>1.0900000000000001</v>
      </c>
      <c r="M525" s="14">
        <f>IF(Tabla15[[#This Row],[COMBUSTIBLE]]="PETRÓLEO",L525*$Q$2,L525*$Q$4)</f>
        <v>1309.0900000000001</v>
      </c>
      <c r="N525" s="12" t="str">
        <f>IF(OR(WEEKDAY(Tabla15[[#This Row],[Fecha]],2)=6,WEEKDAY(Tabla15[[#This Row],[Fecha]],2)=7),"Fin de semana","Semana")</f>
        <v>Semana</v>
      </c>
    </row>
    <row r="526" spans="1:14" ht="12.75" customHeight="1" x14ac:dyDescent="0.25">
      <c r="A526" s="11" t="str">
        <f>_xlfn.XLOOKUP(Tabla15[[#This Row],[GPS]],Hoja3!A:A,Hoja3!B:B)</f>
        <v>CAMIONETA</v>
      </c>
      <c r="B526" s="11" t="str">
        <f>_xlfn.XLOOKUP(GPS!D526,Hoja3!A:A,Hoja3!D:D)</f>
        <v>PETRÓLEO</v>
      </c>
      <c r="C526" s="12" t="str">
        <f>_xlfn.XLOOKUP(Tabla15[[#This Row],[GPS]],Hoja3!A:A,Hoja3!C:C)</f>
        <v>CAMPO PAINE</v>
      </c>
      <c r="D526" s="12" t="s">
        <v>131</v>
      </c>
      <c r="E526" s="13">
        <v>46152</v>
      </c>
      <c r="F526" s="11">
        <v>2.0085999999999999</v>
      </c>
      <c r="G526" s="11">
        <v>55.59</v>
      </c>
      <c r="H526" s="11">
        <v>1</v>
      </c>
      <c r="I526" s="11">
        <v>43.710099999999997</v>
      </c>
      <c r="J526" s="11">
        <v>102.1193</v>
      </c>
      <c r="K526" s="11">
        <v>0.25</v>
      </c>
      <c r="L526" s="15">
        <f t="shared" si="8"/>
        <v>6.1766666666666667</v>
      </c>
      <c r="M526" s="14">
        <f>IF(Tabla15[[#This Row],[COMBUSTIBLE]]="PETRÓLEO",L526*$Q$2,L526*$Q$4)</f>
        <v>7418.1766666666672</v>
      </c>
      <c r="N526" s="12" t="str">
        <f>IF(OR(WEEKDAY(Tabla15[[#This Row],[Fecha]],2)=6,WEEKDAY(Tabla15[[#This Row],[Fecha]],2)=7),"Fin de semana","Semana")</f>
        <v>Fin de semana</v>
      </c>
    </row>
    <row r="527" spans="1:14" ht="12.75" customHeight="1" x14ac:dyDescent="0.25">
      <c r="A527" s="11" t="str">
        <f>_xlfn.XLOOKUP(Tabla15[[#This Row],[GPS]],Hoja3!A:A,Hoja3!B:B)</f>
        <v>CAMIONETA</v>
      </c>
      <c r="B527" s="11" t="str">
        <f>_xlfn.XLOOKUP(GPS!D527,Hoja3!A:A,Hoja3!D:D)</f>
        <v>PETRÓLEO</v>
      </c>
      <c r="C527" s="12" t="str">
        <f>_xlfn.XLOOKUP(Tabla15[[#This Row],[GPS]],Hoja3!A:A,Hoja3!C:C)</f>
        <v>CAMPO PAINE</v>
      </c>
      <c r="D527" s="12" t="s">
        <v>131</v>
      </c>
      <c r="E527" s="13">
        <v>46151</v>
      </c>
      <c r="F527" s="11">
        <v>1.9128000000000001</v>
      </c>
      <c r="G527" s="11">
        <v>11.63</v>
      </c>
      <c r="H527" s="11">
        <v>1</v>
      </c>
      <c r="I527" s="11">
        <v>44.100200000000001</v>
      </c>
      <c r="J527" s="11">
        <v>111</v>
      </c>
      <c r="K527" s="11">
        <v>0.24</v>
      </c>
      <c r="L527" s="15">
        <f t="shared" si="8"/>
        <v>1.2922222222222224</v>
      </c>
      <c r="M527" s="14">
        <f>IF(Tabla15[[#This Row],[COMBUSTIBLE]]="PETRÓLEO",L527*$Q$2,L527*$Q$4)</f>
        <v>1551.9588888888891</v>
      </c>
      <c r="N527" s="12" t="str">
        <f>IF(OR(WEEKDAY(Tabla15[[#This Row],[Fecha]],2)=6,WEEKDAY(Tabla15[[#This Row],[Fecha]],2)=7),"Fin de semana","Semana")</f>
        <v>Fin de semana</v>
      </c>
    </row>
    <row r="528" spans="1:14" ht="12.75" customHeight="1" x14ac:dyDescent="0.25">
      <c r="A528" s="11" t="str">
        <f>_xlfn.XLOOKUP(Tabla15[[#This Row],[GPS]],Hoja3!A:A,Hoja3!B:B)</f>
        <v>CAMIONETA</v>
      </c>
      <c r="B528" s="11" t="str">
        <f>_xlfn.XLOOKUP(GPS!D528,Hoja3!A:A,Hoja3!D:D)</f>
        <v>PETRÓLEO</v>
      </c>
      <c r="C528" s="12" t="str">
        <f>_xlfn.XLOOKUP(Tabla15[[#This Row],[GPS]],Hoja3!A:A,Hoja3!C:C)</f>
        <v>GONZALO GUERRERO</v>
      </c>
      <c r="D528" s="12" t="s">
        <v>126</v>
      </c>
      <c r="E528" s="13">
        <v>46148</v>
      </c>
      <c r="F528" s="11">
        <v>1.7975000000000001</v>
      </c>
      <c r="G528" s="11">
        <v>24.56</v>
      </c>
      <c r="H528" s="11">
        <v>1</v>
      </c>
      <c r="I528" s="11">
        <v>23.612100000000002</v>
      </c>
      <c r="J528" s="11">
        <v>121.3801</v>
      </c>
      <c r="K528" s="11">
        <v>0.22</v>
      </c>
      <c r="L528" s="15">
        <f t="shared" si="8"/>
        <v>2.7288888888888887</v>
      </c>
      <c r="M528" s="14">
        <f>IF(Tabla15[[#This Row],[COMBUSTIBLE]]="PETRÓLEO",L528*$Q$2,L528*$Q$4)</f>
        <v>3277.3955555555553</v>
      </c>
      <c r="N528" s="12" t="str">
        <f>IF(OR(WEEKDAY(Tabla15[[#This Row],[Fecha]],2)=6,WEEKDAY(Tabla15[[#This Row],[Fecha]],2)=7),"Fin de semana","Semana")</f>
        <v>Semana</v>
      </c>
    </row>
    <row r="529" spans="1:14" ht="12.75" customHeight="1" x14ac:dyDescent="0.25">
      <c r="A529" s="11" t="str">
        <f>_xlfn.XLOOKUP(Tabla15[[#This Row],[GPS]],Hoja3!A:A,Hoja3!B:B)</f>
        <v>CAMIONETA</v>
      </c>
      <c r="B529" s="11" t="str">
        <f>_xlfn.XLOOKUP(GPS!D529,Hoja3!A:A,Hoja3!D:D)</f>
        <v>PETRÓLEO</v>
      </c>
      <c r="C529" s="12" t="str">
        <f>_xlfn.XLOOKUP(Tabla15[[#This Row],[GPS]],Hoja3!A:A,Hoja3!C:C)</f>
        <v>GONZALO GUERRERO</v>
      </c>
      <c r="D529" s="12" t="s">
        <v>126</v>
      </c>
      <c r="E529" s="13">
        <v>46150</v>
      </c>
      <c r="F529" s="11">
        <v>1.6147</v>
      </c>
      <c r="G529" s="11">
        <v>51.73</v>
      </c>
      <c r="H529" s="11">
        <v>1</v>
      </c>
      <c r="I529" s="11">
        <v>41.1038</v>
      </c>
      <c r="J529" s="11">
        <v>178.6995</v>
      </c>
      <c r="K529" s="11">
        <v>0.2</v>
      </c>
      <c r="L529" s="15">
        <f t="shared" si="8"/>
        <v>5.7477777777777774</v>
      </c>
      <c r="M529" s="14">
        <f>IF(Tabla15[[#This Row],[COMBUSTIBLE]]="PETRÓLEO",L529*$Q$2,L529*$Q$4)</f>
        <v>6903.0811111111107</v>
      </c>
      <c r="N529" s="12" t="str">
        <f>IF(OR(WEEKDAY(Tabla15[[#This Row],[Fecha]],2)=6,WEEKDAY(Tabla15[[#This Row],[Fecha]],2)=7),"Fin de semana","Semana")</f>
        <v>Semana</v>
      </c>
    </row>
    <row r="530" spans="1:14" ht="12.75" customHeight="1" x14ac:dyDescent="0.25">
      <c r="A530" s="11" t="str">
        <f>_xlfn.XLOOKUP(Tabla15[[#This Row],[GPS]],Hoja3!A:A,Hoja3!B:B)</f>
        <v>CAMIONETA</v>
      </c>
      <c r="B530" s="11" t="str">
        <f>_xlfn.XLOOKUP(GPS!D530,Hoja3!A:A,Hoja3!D:D)</f>
        <v>PETRÓLEO</v>
      </c>
      <c r="C530" s="12" t="str">
        <f>_xlfn.XLOOKUP(Tabla15[[#This Row],[GPS]],Hoja3!A:A,Hoja3!C:C)</f>
        <v>CAMPO PAINE</v>
      </c>
      <c r="D530" s="12" t="s">
        <v>131</v>
      </c>
      <c r="E530" s="13">
        <v>46148</v>
      </c>
      <c r="F530" s="11">
        <v>1.5432999999999999</v>
      </c>
      <c r="G530" s="11">
        <v>19.72</v>
      </c>
      <c r="H530" s="11">
        <v>1</v>
      </c>
      <c r="I530" s="11">
        <v>17.733699999999999</v>
      </c>
      <c r="J530" s="11">
        <v>194.5711</v>
      </c>
      <c r="K530" s="11">
        <v>0.19</v>
      </c>
      <c r="L530" s="15">
        <f t="shared" si="8"/>
        <v>2.1911111111111108</v>
      </c>
      <c r="M530" s="14">
        <f>IF(Tabla15[[#This Row],[COMBUSTIBLE]]="PETRÓLEO",L530*$Q$2,L530*$Q$4)</f>
        <v>2631.5244444444443</v>
      </c>
      <c r="N530" s="12" t="str">
        <f>IF(OR(WEEKDAY(Tabla15[[#This Row],[Fecha]],2)=6,WEEKDAY(Tabla15[[#This Row],[Fecha]],2)=7),"Fin de semana","Semana")</f>
        <v>Semana</v>
      </c>
    </row>
    <row r="531" spans="1:14" ht="12.75" customHeight="1" x14ac:dyDescent="0.25">
      <c r="A531" s="11" t="str">
        <f>_xlfn.XLOOKUP(Tabla15[[#This Row],[GPS]],Hoja3!A:A,Hoja3!B:B)</f>
        <v>CAMIONETA</v>
      </c>
      <c r="B531" s="11" t="str">
        <f>_xlfn.XLOOKUP(GPS!D531,Hoja3!A:A,Hoja3!D:D)</f>
        <v>PETRÓLEO</v>
      </c>
      <c r="C531" s="12" t="str">
        <f>_xlfn.XLOOKUP(Tabla15[[#This Row],[GPS]],Hoja3!A:A,Hoja3!C:C)</f>
        <v>CAMPO RULO</v>
      </c>
      <c r="D531" s="12" t="s">
        <v>135</v>
      </c>
      <c r="E531" s="13">
        <v>46150</v>
      </c>
      <c r="F531" s="11">
        <v>1.5314000000000001</v>
      </c>
      <c r="G531" s="11">
        <v>25.98</v>
      </c>
      <c r="H531" s="11">
        <v>1</v>
      </c>
      <c r="I531" s="11">
        <v>19.584399999999999</v>
      </c>
      <c r="J531" s="11">
        <v>75.950500000000005</v>
      </c>
      <c r="K531" s="11">
        <v>0.19</v>
      </c>
      <c r="L531" s="15">
        <f t="shared" si="8"/>
        <v>2.8866666666666667</v>
      </c>
      <c r="M531" s="14">
        <f>IF(Tabla15[[#This Row],[COMBUSTIBLE]]="PETRÓLEO",L531*$Q$2,L531*$Q$4)</f>
        <v>3466.8866666666668</v>
      </c>
      <c r="N531" s="12" t="str">
        <f>IF(OR(WEEKDAY(Tabla15[[#This Row],[Fecha]],2)=6,WEEKDAY(Tabla15[[#This Row],[Fecha]],2)=7),"Fin de semana","Semana")</f>
        <v>Semana</v>
      </c>
    </row>
    <row r="532" spans="1:14" ht="12.75" customHeight="1" x14ac:dyDescent="0.25">
      <c r="A532" s="11" t="str">
        <f>_xlfn.XLOOKUP(Tabla15[[#This Row],[GPS]],Hoja3!A:A,Hoja3!B:B)</f>
        <v>TRACTOR</v>
      </c>
      <c r="B532" s="11" t="str">
        <f>_xlfn.XLOOKUP(GPS!D532,Hoja3!A:A,Hoja3!D:D)</f>
        <v>PETRÓLEO</v>
      </c>
      <c r="C532" s="12" t="str">
        <f>_xlfn.XLOOKUP(Tabla15[[#This Row],[GPS]],Hoja3!A:A,Hoja3!C:C)</f>
        <v>T14</v>
      </c>
      <c r="D532" s="12" t="s">
        <v>21</v>
      </c>
      <c r="E532" s="13">
        <v>46147</v>
      </c>
      <c r="F532" s="11">
        <v>1.5253000000000001</v>
      </c>
      <c r="G532" s="11">
        <v>3.28</v>
      </c>
      <c r="H532" s="11">
        <v>1</v>
      </c>
      <c r="I532" s="11">
        <v>6.2435</v>
      </c>
      <c r="J532" s="11">
        <v>66.727599999999995</v>
      </c>
      <c r="K532" s="11">
        <v>0.19</v>
      </c>
      <c r="L532" s="15">
        <f t="shared" si="8"/>
        <v>0.54666666666666663</v>
      </c>
      <c r="M532" s="14">
        <f>IF(Tabla15[[#This Row],[COMBUSTIBLE]]="PETRÓLEO",L532*$Q$2,L532*$Q$4)</f>
        <v>656.54666666666662</v>
      </c>
      <c r="N532" s="12" t="str">
        <f>IF(OR(WEEKDAY(Tabla15[[#This Row],[Fecha]],2)=6,WEEKDAY(Tabla15[[#This Row],[Fecha]],2)=7),"Fin de semana","Semana")</f>
        <v>Semana</v>
      </c>
    </row>
    <row r="533" spans="1:14" ht="12.75" customHeight="1" x14ac:dyDescent="0.25">
      <c r="A533" s="11" t="str">
        <f>_xlfn.XLOOKUP(Tabla15[[#This Row],[GPS]],Hoja3!A:A,Hoja3!B:B)</f>
        <v>TRACTOR</v>
      </c>
      <c r="B533" s="11" t="str">
        <f>_xlfn.XLOOKUP(GPS!D533,Hoja3!A:A,Hoja3!D:D)</f>
        <v>PETRÓLEO</v>
      </c>
      <c r="C533" s="12" t="str">
        <f>_xlfn.XLOOKUP(Tabla15[[#This Row],[GPS]],Hoja3!A:A,Hoja3!C:C)</f>
        <v>T4</v>
      </c>
      <c r="D533" s="12" t="s">
        <v>23</v>
      </c>
      <c r="E533" s="13">
        <v>46150</v>
      </c>
      <c r="F533" s="11">
        <v>1.4269000000000001</v>
      </c>
      <c r="G533" s="11">
        <v>11.66</v>
      </c>
      <c r="H533" s="11">
        <v>1</v>
      </c>
      <c r="I533" s="11">
        <v>9.0714000000000006</v>
      </c>
      <c r="J533" s="11">
        <v>29.261600000000001</v>
      </c>
      <c r="K533" s="11">
        <v>0.18</v>
      </c>
      <c r="L533" s="15">
        <f t="shared" si="8"/>
        <v>1.9433333333333334</v>
      </c>
      <c r="M533" s="14">
        <f>IF(Tabla15[[#This Row],[COMBUSTIBLE]]="PETRÓLEO",L533*$Q$2,L533*$Q$4)</f>
        <v>2333.9433333333332</v>
      </c>
      <c r="N533" s="12" t="str">
        <f>IF(OR(WEEKDAY(Tabla15[[#This Row],[Fecha]],2)=6,WEEKDAY(Tabla15[[#This Row],[Fecha]],2)=7),"Fin de semana","Semana")</f>
        <v>Semana</v>
      </c>
    </row>
    <row r="534" spans="1:14" ht="12.75" customHeight="1" x14ac:dyDescent="0.25">
      <c r="A534" s="11" t="str">
        <f>_xlfn.XLOOKUP(Tabla15[[#This Row],[GPS]],Hoja3!A:A,Hoja3!B:B)</f>
        <v>CAMIONETA</v>
      </c>
      <c r="B534" s="11" t="str">
        <f>_xlfn.XLOOKUP(GPS!D534,Hoja3!A:A,Hoja3!D:D)</f>
        <v>PETRÓLEO</v>
      </c>
      <c r="C534" s="12" t="str">
        <f>_xlfn.XLOOKUP(Tabla15[[#This Row],[GPS]],Hoja3!A:A,Hoja3!C:C)</f>
        <v>CAMPO PAINE</v>
      </c>
      <c r="D534" s="12" t="s">
        <v>131</v>
      </c>
      <c r="E534" s="13">
        <v>46149</v>
      </c>
      <c r="F534" s="11">
        <v>1.3661000000000001</v>
      </c>
      <c r="G534" s="11">
        <v>25.09</v>
      </c>
      <c r="H534" s="11">
        <v>1</v>
      </c>
      <c r="I534" s="11">
        <v>25.378399999999999</v>
      </c>
      <c r="J534" s="11">
        <v>100.434</v>
      </c>
      <c r="K534" s="11">
        <v>0.17</v>
      </c>
      <c r="L534" s="15">
        <f t="shared" si="8"/>
        <v>2.7877777777777779</v>
      </c>
      <c r="M534" s="14">
        <f>IF(Tabla15[[#This Row],[COMBUSTIBLE]]="PETRÓLEO",L534*$Q$2,L534*$Q$4)</f>
        <v>3348.1211111111111</v>
      </c>
      <c r="N534" s="12" t="str">
        <f>IF(OR(WEEKDAY(Tabla15[[#This Row],[Fecha]],2)=6,WEEKDAY(Tabla15[[#This Row],[Fecha]],2)=7),"Fin de semana","Semana")</f>
        <v>Semana</v>
      </c>
    </row>
    <row r="535" spans="1:14" ht="12.75" customHeight="1" x14ac:dyDescent="0.25">
      <c r="A535" s="11" t="str">
        <f>_xlfn.XLOOKUP(Tabla15[[#This Row],[GPS]],Hoja3!A:A,Hoja3!B:B)</f>
        <v>CAMIONETA</v>
      </c>
      <c r="B535" s="11" t="str">
        <f>_xlfn.XLOOKUP(GPS!D535,Hoja3!A:A,Hoja3!D:D)</f>
        <v>PETRÓLEO</v>
      </c>
      <c r="C535" s="12" t="str">
        <f>_xlfn.XLOOKUP(Tabla15[[#This Row],[GPS]],Hoja3!A:A,Hoja3!C:C)</f>
        <v>RODRIGO SALINAS</v>
      </c>
      <c r="D535" s="12" t="s">
        <v>109</v>
      </c>
      <c r="E535" s="13">
        <v>46150</v>
      </c>
      <c r="F535" s="11">
        <v>1.3283</v>
      </c>
      <c r="G535" s="11">
        <v>4.67</v>
      </c>
      <c r="H535" s="11">
        <v>1</v>
      </c>
      <c r="I535" s="11">
        <v>17.007899999999999</v>
      </c>
      <c r="J535" s="11">
        <v>89.000100000000003</v>
      </c>
      <c r="K535" s="11">
        <v>0.17</v>
      </c>
      <c r="L535" s="15">
        <f t="shared" si="8"/>
        <v>0.51888888888888884</v>
      </c>
      <c r="M535" s="14">
        <f>IF(Tabla15[[#This Row],[COMBUSTIBLE]]="PETRÓLEO",L535*$Q$2,L535*$Q$4)</f>
        <v>623.18555555555554</v>
      </c>
      <c r="N535" s="12" t="str">
        <f>IF(OR(WEEKDAY(Tabla15[[#This Row],[Fecha]],2)=6,WEEKDAY(Tabla15[[#This Row],[Fecha]],2)=7),"Fin de semana","Semana")</f>
        <v>Semana</v>
      </c>
    </row>
    <row r="536" spans="1:14" ht="12.75" customHeight="1" x14ac:dyDescent="0.25">
      <c r="A536" s="11" t="str">
        <f>_xlfn.XLOOKUP(Tabla15[[#This Row],[GPS]],Hoja3!A:A,Hoja3!B:B)</f>
        <v>TRACTOR</v>
      </c>
      <c r="B536" s="11" t="str">
        <f>_xlfn.XLOOKUP(GPS!D536,Hoja3!A:A,Hoja3!D:D)</f>
        <v>PETRÓLEO</v>
      </c>
      <c r="C536" s="12" t="str">
        <f>_xlfn.XLOOKUP(Tabla15[[#This Row],[GPS]],Hoja3!A:A,Hoja3!C:C)</f>
        <v>T8</v>
      </c>
      <c r="D536" s="12" t="s">
        <v>27</v>
      </c>
      <c r="E536" s="13">
        <v>46150</v>
      </c>
      <c r="F536" s="11">
        <v>1.1808000000000001</v>
      </c>
      <c r="G536" s="11">
        <v>3.45</v>
      </c>
      <c r="H536" s="11">
        <v>1</v>
      </c>
      <c r="I536" s="11">
        <v>5.2920999999999996</v>
      </c>
      <c r="J536" s="11">
        <v>22.5944</v>
      </c>
      <c r="K536" s="11">
        <v>0.15</v>
      </c>
      <c r="L536" s="15">
        <f t="shared" si="8"/>
        <v>0.57500000000000007</v>
      </c>
      <c r="M536" s="14">
        <f>IF(Tabla15[[#This Row],[COMBUSTIBLE]]="PETRÓLEO",L536*$Q$2,L536*$Q$4)</f>
        <v>690.57500000000005</v>
      </c>
      <c r="N536" s="12" t="str">
        <f>IF(OR(WEEKDAY(Tabla15[[#This Row],[Fecha]],2)=6,WEEKDAY(Tabla15[[#This Row],[Fecha]],2)=7),"Fin de semana","Semana")</f>
        <v>Semana</v>
      </c>
    </row>
    <row r="537" spans="1:14" ht="12.75" customHeight="1" x14ac:dyDescent="0.25">
      <c r="A537" s="11" t="str">
        <f>_xlfn.XLOOKUP(Tabla15[[#This Row],[GPS]],Hoja3!A:A,Hoja3!B:B)</f>
        <v>CAMIONETA</v>
      </c>
      <c r="B537" s="11" t="str">
        <f>_xlfn.XLOOKUP(GPS!D537,Hoja3!A:A,Hoja3!D:D)</f>
        <v>PETRÓLEO</v>
      </c>
      <c r="C537" s="12" t="str">
        <f>_xlfn.XLOOKUP(Tabla15[[#This Row],[GPS]],Hoja3!A:A,Hoja3!C:C)</f>
        <v>GONZALO GUERRERO</v>
      </c>
      <c r="D537" s="12" t="s">
        <v>126</v>
      </c>
      <c r="E537" s="13">
        <v>46153</v>
      </c>
      <c r="F537" s="11">
        <v>1.1247</v>
      </c>
      <c r="G537" s="11">
        <v>28.17</v>
      </c>
      <c r="H537" s="11">
        <v>1</v>
      </c>
      <c r="I537" s="11">
        <v>29.254999999999999</v>
      </c>
      <c r="J537" s="11">
        <v>93</v>
      </c>
      <c r="K537" s="11">
        <v>0.14000000000000001</v>
      </c>
      <c r="L537" s="15">
        <f t="shared" si="8"/>
        <v>3.1300000000000003</v>
      </c>
      <c r="M537" s="14">
        <f>IF(Tabla15[[#This Row],[COMBUSTIBLE]]="PETRÓLEO",L537*$Q$2,L537*$Q$4)</f>
        <v>3759.1300000000006</v>
      </c>
      <c r="N537" s="12" t="str">
        <f>IF(OR(WEEKDAY(Tabla15[[#This Row],[Fecha]],2)=6,WEEKDAY(Tabla15[[#This Row],[Fecha]],2)=7),"Fin de semana","Semana")</f>
        <v>Semana</v>
      </c>
    </row>
    <row r="538" spans="1:14" ht="12.75" customHeight="1" x14ac:dyDescent="0.25">
      <c r="A538" s="11" t="str">
        <f>_xlfn.XLOOKUP(Tabla15[[#This Row],[GPS]],Hoja3!A:A,Hoja3!B:B)</f>
        <v>TRACTOR</v>
      </c>
      <c r="B538" s="11" t="str">
        <f>_xlfn.XLOOKUP(GPS!D538,Hoja3!A:A,Hoja3!D:D)</f>
        <v>PETRÓLEO</v>
      </c>
      <c r="C538" s="12" t="str">
        <f>_xlfn.XLOOKUP(Tabla15[[#This Row],[GPS]],Hoja3!A:A,Hoja3!C:C)</f>
        <v>T13</v>
      </c>
      <c r="D538" s="12" t="s">
        <v>19</v>
      </c>
      <c r="E538" s="13">
        <v>46147</v>
      </c>
      <c r="F538" s="11">
        <v>1.1103000000000001</v>
      </c>
      <c r="G538" s="11">
        <v>2.85</v>
      </c>
      <c r="H538" s="11">
        <v>1</v>
      </c>
      <c r="I538" s="11">
        <v>4.5231000000000003</v>
      </c>
      <c r="J538" s="11">
        <v>21.631399999999999</v>
      </c>
      <c r="K538" s="11">
        <v>0.14000000000000001</v>
      </c>
      <c r="L538" s="15">
        <f t="shared" si="8"/>
        <v>0.47500000000000003</v>
      </c>
      <c r="M538" s="14">
        <f>IF(Tabla15[[#This Row],[COMBUSTIBLE]]="PETRÓLEO",L538*$Q$2,L538*$Q$4)</f>
        <v>570.47500000000002</v>
      </c>
      <c r="N538" s="12" t="str">
        <f>IF(OR(WEEKDAY(Tabla15[[#This Row],[Fecha]],2)=6,WEEKDAY(Tabla15[[#This Row],[Fecha]],2)=7),"Fin de semana","Semana")</f>
        <v>Semana</v>
      </c>
    </row>
    <row r="539" spans="1:14" ht="12.75" customHeight="1" x14ac:dyDescent="0.25">
      <c r="A539" s="11" t="str">
        <f>_xlfn.XLOOKUP(Tabla15[[#This Row],[GPS]],Hoja3!A:A,Hoja3!B:B)</f>
        <v>CAMIONETA</v>
      </c>
      <c r="B539" s="11" t="str">
        <f>_xlfn.XLOOKUP(GPS!D539,Hoja3!A:A,Hoja3!D:D)</f>
        <v>PETRÓLEO</v>
      </c>
      <c r="C539" s="12" t="str">
        <f>_xlfn.XLOOKUP(Tabla15[[#This Row],[GPS]],Hoja3!A:A,Hoja3!C:C)</f>
        <v>RODRIGO SALINAS</v>
      </c>
      <c r="D539" s="12" t="s">
        <v>109</v>
      </c>
      <c r="E539" s="13">
        <v>46148</v>
      </c>
      <c r="F539" s="11">
        <v>0.86470000000000002</v>
      </c>
      <c r="G539" s="11">
        <v>0.18</v>
      </c>
      <c r="H539" s="11">
        <v>0</v>
      </c>
      <c r="I539" s="11">
        <v>5.2885</v>
      </c>
      <c r="J539" s="11">
        <v>23.4834</v>
      </c>
      <c r="K539" s="11">
        <v>0.11</v>
      </c>
      <c r="L539" s="15">
        <f t="shared" si="8"/>
        <v>0.02</v>
      </c>
      <c r="M539" s="14">
        <f>IF(Tabla15[[#This Row],[COMBUSTIBLE]]="PETRÓLEO",L539*$Q$2,L539*$Q$4)</f>
        <v>24.02</v>
      </c>
      <c r="N539" s="12" t="str">
        <f>IF(OR(WEEKDAY(Tabla15[[#This Row],[Fecha]],2)=6,WEEKDAY(Tabla15[[#This Row],[Fecha]],2)=7),"Fin de semana","Semana")</f>
        <v>Semana</v>
      </c>
    </row>
    <row r="540" spans="1:14" ht="12.75" customHeight="1" x14ac:dyDescent="0.25">
      <c r="A540" s="11" t="str">
        <f>_xlfn.XLOOKUP(Tabla15[[#This Row],[GPS]],Hoja3!A:A,Hoja3!B:B)</f>
        <v>CAMIONETA</v>
      </c>
      <c r="B540" s="11" t="str">
        <f>_xlfn.XLOOKUP(GPS!D540,Hoja3!A:A,Hoja3!D:D)</f>
        <v>PETRÓLEO</v>
      </c>
      <c r="C540" s="12" t="str">
        <f>_xlfn.XLOOKUP(Tabla15[[#This Row],[GPS]],Hoja3!A:A,Hoja3!C:C)</f>
        <v>CAMPO PAINE</v>
      </c>
      <c r="D540" s="12" t="s">
        <v>131</v>
      </c>
      <c r="E540" s="13">
        <v>46150</v>
      </c>
      <c r="F540" s="11">
        <v>0.34499999999999997</v>
      </c>
      <c r="G540" s="11">
        <v>4.25</v>
      </c>
      <c r="H540" s="11">
        <v>1</v>
      </c>
      <c r="I540" s="11">
        <v>13.4323</v>
      </c>
      <c r="J540" s="11">
        <v>92.192599999999999</v>
      </c>
      <c r="K540" s="11">
        <v>0.04</v>
      </c>
      <c r="L540" s="15">
        <f t="shared" si="8"/>
        <v>0.47222222222222221</v>
      </c>
      <c r="M540" s="14">
        <f>IF(Tabla15[[#This Row],[COMBUSTIBLE]]="PETRÓLEO",L540*$Q$2,L540*$Q$4)</f>
        <v>567.13888888888891</v>
      </c>
      <c r="N540" s="12" t="str">
        <f>IF(OR(WEEKDAY(Tabla15[[#This Row],[Fecha]],2)=6,WEEKDAY(Tabla15[[#This Row],[Fecha]],2)=7),"Fin de semana","Semana")</f>
        <v>Semana</v>
      </c>
    </row>
    <row r="541" spans="1:14" ht="12.75" customHeight="1" x14ac:dyDescent="0.25">
      <c r="A541" s="11" t="str">
        <f>_xlfn.XLOOKUP(Tabla15[[#This Row],[GPS]],Hoja3!A:A,Hoja3!B:B)</f>
        <v>TRACTOR</v>
      </c>
      <c r="B541" s="11" t="str">
        <f>_xlfn.XLOOKUP(GPS!D541,Hoja3!A:A,Hoja3!D:D)</f>
        <v>PETRÓLEO</v>
      </c>
      <c r="C541" s="12" t="str">
        <f>_xlfn.XLOOKUP(Tabla15[[#This Row],[GPS]],Hoja3!A:A,Hoja3!C:C)</f>
        <v>T11</v>
      </c>
      <c r="D541" s="12" t="s">
        <v>15</v>
      </c>
      <c r="E541" s="13">
        <v>46153</v>
      </c>
      <c r="F541" s="11">
        <v>0.2994</v>
      </c>
      <c r="G541" s="11">
        <v>3.69</v>
      </c>
      <c r="H541" s="11">
        <v>1</v>
      </c>
      <c r="I541" s="11">
        <v>7.8494999999999999</v>
      </c>
      <c r="J541" s="11">
        <v>17.482900000000001</v>
      </c>
      <c r="K541" s="11">
        <v>0.04</v>
      </c>
      <c r="L541" s="15">
        <f t="shared" si="8"/>
        <v>0.61499999999999999</v>
      </c>
      <c r="M541" s="14">
        <f>IF(Tabla15[[#This Row],[COMBUSTIBLE]]="PETRÓLEO",L541*$Q$2,L541*$Q$4)</f>
        <v>738.61500000000001</v>
      </c>
      <c r="N541" s="12" t="str">
        <f>IF(OR(WEEKDAY(Tabla15[[#This Row],[Fecha]],2)=6,WEEKDAY(Tabla15[[#This Row],[Fecha]],2)=7),"Fin de semana","Semana")</f>
        <v>Semana</v>
      </c>
    </row>
    <row r="542" spans="1:14" ht="12.75" customHeight="1" x14ac:dyDescent="0.25">
      <c r="A542" s="11" t="str">
        <f>_xlfn.XLOOKUP(Tabla15[[#This Row],[GPS]],Hoja3!A:A,Hoja3!B:B)</f>
        <v>TRACTOR</v>
      </c>
      <c r="B542" s="11" t="str">
        <f>_xlfn.XLOOKUP(GPS!D542,Hoja3!A:A,Hoja3!D:D)</f>
        <v>PETRÓLEO</v>
      </c>
      <c r="C542" s="12" t="str">
        <f>_xlfn.XLOOKUP(Tabla15[[#This Row],[GPS]],Hoja3!A:A,Hoja3!C:C)</f>
        <v>T11</v>
      </c>
      <c r="D542" s="12" t="s">
        <v>15</v>
      </c>
      <c r="E542" s="13">
        <v>46150</v>
      </c>
      <c r="F542" s="11">
        <v>0.2878</v>
      </c>
      <c r="G542" s="11">
        <v>6.82</v>
      </c>
      <c r="H542" s="11">
        <v>1</v>
      </c>
      <c r="I542" s="11">
        <v>6.9926000000000004</v>
      </c>
      <c r="J542" s="11">
        <v>15.316000000000001</v>
      </c>
      <c r="K542" s="11">
        <v>0.04</v>
      </c>
      <c r="L542" s="15">
        <f t="shared" si="8"/>
        <v>1.1366666666666667</v>
      </c>
      <c r="M542" s="14">
        <f>IF(Tabla15[[#This Row],[COMBUSTIBLE]]="PETRÓLEO",L542*$Q$2,L542*$Q$4)</f>
        <v>1365.1366666666668</v>
      </c>
      <c r="N542" s="12" t="str">
        <f>IF(OR(WEEKDAY(Tabla15[[#This Row],[Fecha]],2)=6,WEEKDAY(Tabla15[[#This Row],[Fecha]],2)=7),"Fin de semana","Semana")</f>
        <v>Semana</v>
      </c>
    </row>
    <row r="543" spans="1:14" ht="12.75" customHeight="1" x14ac:dyDescent="0.25">
      <c r="A543" s="11" t="str">
        <f>_xlfn.XLOOKUP(Tabla15[[#This Row],[GPS]],Hoja3!A:A,Hoja3!B:B)</f>
        <v>TRACTOR</v>
      </c>
      <c r="B543" s="11" t="str">
        <f>_xlfn.XLOOKUP(GPS!D543,Hoja3!A:A,Hoja3!D:D)</f>
        <v>PETRÓLEO</v>
      </c>
      <c r="C543" s="12" t="str">
        <f>_xlfn.XLOOKUP(Tabla15[[#This Row],[GPS]],Hoja3!A:A,Hoja3!C:C)</f>
        <v>T12</v>
      </c>
      <c r="D543" s="12" t="s">
        <v>17</v>
      </c>
      <c r="E543" s="13">
        <v>46153</v>
      </c>
      <c r="F543" s="11">
        <v>0.1678</v>
      </c>
      <c r="G543" s="11">
        <v>0.1</v>
      </c>
      <c r="H543" s="11">
        <v>0</v>
      </c>
      <c r="I543" s="11">
        <v>5.2812999999999999</v>
      </c>
      <c r="J543" s="11">
        <v>27.724399999999999</v>
      </c>
      <c r="K543" s="11">
        <v>0.02</v>
      </c>
      <c r="L543" s="15">
        <f t="shared" si="8"/>
        <v>1.6666666666666666E-2</v>
      </c>
      <c r="M543" s="14">
        <f>IF(Tabla15[[#This Row],[COMBUSTIBLE]]="PETRÓLEO",L543*$Q$2,L543*$Q$4)</f>
        <v>20.016666666666666</v>
      </c>
      <c r="N543" s="12" t="str">
        <f>IF(OR(WEEKDAY(Tabla15[[#This Row],[Fecha]],2)=6,WEEKDAY(Tabla15[[#This Row],[Fecha]],2)=7),"Fin de semana","Semana")</f>
        <v>Semana</v>
      </c>
    </row>
    <row r="544" spans="1:14" ht="12.75" customHeight="1" x14ac:dyDescent="0.25">
      <c r="A544" s="11" t="str">
        <f>_xlfn.XLOOKUP(Tabla15[[#This Row],[GPS]],Hoja3!A:A,Hoja3!B:B)</f>
        <v>TRACTOR</v>
      </c>
      <c r="B544" s="11" t="str">
        <f>_xlfn.XLOOKUP(GPS!D544,Hoja3!A:A,Hoja3!D:D)</f>
        <v>PETRÓLEO</v>
      </c>
      <c r="C544" s="12" t="str">
        <f>_xlfn.XLOOKUP(Tabla15[[#This Row],[GPS]],Hoja3!A:A,Hoja3!C:C)</f>
        <v>T14</v>
      </c>
      <c r="D544" s="12" t="s">
        <v>21</v>
      </c>
      <c r="E544" s="13">
        <v>46148</v>
      </c>
      <c r="F544" s="11">
        <v>0.1303</v>
      </c>
      <c r="G544" s="11">
        <v>1.54</v>
      </c>
      <c r="H544" s="11">
        <v>1</v>
      </c>
      <c r="I544" s="11">
        <v>11.861700000000001</v>
      </c>
      <c r="J544" s="11">
        <v>22.427700000000002</v>
      </c>
      <c r="K544" s="11">
        <v>0.02</v>
      </c>
      <c r="L544" s="15">
        <f t="shared" si="8"/>
        <v>0.25666666666666665</v>
      </c>
      <c r="M544" s="14">
        <f>IF(Tabla15[[#This Row],[COMBUSTIBLE]]="PETRÓLEO",L544*$Q$2,L544*$Q$4)</f>
        <v>308.25666666666666</v>
      </c>
      <c r="N544" s="12" t="str">
        <f>IF(OR(WEEKDAY(Tabla15[[#This Row],[Fecha]],2)=6,WEEKDAY(Tabla15[[#This Row],[Fecha]],2)=7),"Fin de semana","Semana")</f>
        <v>Semana</v>
      </c>
    </row>
    <row r="545" spans="1:14" ht="12.75" customHeight="1" x14ac:dyDescent="0.25">
      <c r="A545" s="11" t="str">
        <f>_xlfn.XLOOKUP(Tabla15[[#This Row],[GPS]],Hoja3!A:A,Hoja3!B:B)</f>
        <v>TRACTOR</v>
      </c>
      <c r="B545" s="11" t="str">
        <f>_xlfn.XLOOKUP(GPS!D545,Hoja3!A:A,Hoja3!D:D)</f>
        <v>PETRÓLEO</v>
      </c>
      <c r="C545" s="12" t="str">
        <f>_xlfn.XLOOKUP(Tabla15[[#This Row],[GPS]],Hoja3!A:A,Hoja3!C:C)</f>
        <v>T9</v>
      </c>
      <c r="D545" s="12" t="s">
        <v>28</v>
      </c>
      <c r="E545" s="13">
        <v>46147</v>
      </c>
      <c r="F545" s="11">
        <v>5.33E-2</v>
      </c>
      <c r="G545" s="11">
        <v>0.01</v>
      </c>
      <c r="H545" s="11">
        <v>0</v>
      </c>
      <c r="I545" s="11">
        <v>8.0562000000000005</v>
      </c>
      <c r="J545" s="11">
        <v>8.0562000000000005</v>
      </c>
      <c r="K545" s="11">
        <v>0.01</v>
      </c>
      <c r="L545" s="15">
        <f t="shared" si="8"/>
        <v>1.6666666666666668E-3</v>
      </c>
      <c r="M545" s="14">
        <f>IF(Tabla15[[#This Row],[COMBUSTIBLE]]="PETRÓLEO",L545*$Q$2,L545*$Q$4)</f>
        <v>2.0016666666666669</v>
      </c>
      <c r="N545" s="12" t="str">
        <f>IF(OR(WEEKDAY(Tabla15[[#This Row],[Fecha]],2)=6,WEEKDAY(Tabla15[[#This Row],[Fecha]],2)=7),"Fin de semana","Semana")</f>
        <v>Semana</v>
      </c>
    </row>
    <row r="546" spans="1:14" ht="12.75" customHeight="1" x14ac:dyDescent="0.25">
      <c r="A546" s="11" t="str">
        <f>_xlfn.XLOOKUP(Tabla15[[#This Row],[GPS]],Hoja3!A:A,Hoja3!B:B)</f>
        <v>TRACTOR</v>
      </c>
      <c r="B546" s="11" t="str">
        <f>_xlfn.XLOOKUP(GPS!D546,Hoja3!A:A,Hoja3!D:D)</f>
        <v>PETRÓLEO</v>
      </c>
      <c r="C546" s="12" t="str">
        <f>_xlfn.XLOOKUP(Tabla15[[#This Row],[GPS]],Hoja3!A:A,Hoja3!C:C)</f>
        <v>T6</v>
      </c>
      <c r="D546" s="12" t="s">
        <v>25</v>
      </c>
      <c r="E546" s="13">
        <v>46153</v>
      </c>
      <c r="F546" s="11">
        <v>3.6700000000000003E-2</v>
      </c>
      <c r="G546" s="11">
        <v>0.01</v>
      </c>
      <c r="H546" s="11">
        <v>0</v>
      </c>
      <c r="I546" s="11">
        <v>0</v>
      </c>
      <c r="J546" s="11">
        <v>0</v>
      </c>
      <c r="K546" s="11">
        <v>0</v>
      </c>
      <c r="L546" s="15">
        <f t="shared" si="8"/>
        <v>1.6666666666666668E-3</v>
      </c>
      <c r="M546" s="14">
        <f>IF(Tabla15[[#This Row],[COMBUSTIBLE]]="PETRÓLEO",L546*$Q$2,L546*$Q$4)</f>
        <v>2.0016666666666669</v>
      </c>
      <c r="N546" s="12" t="str">
        <f>IF(OR(WEEKDAY(Tabla15[[#This Row],[Fecha]],2)=6,WEEKDAY(Tabla15[[#This Row],[Fecha]],2)=7),"Fin de semana","Semana")</f>
        <v>Semana</v>
      </c>
    </row>
    <row r="547" spans="1:14" ht="12.75" customHeight="1" x14ac:dyDescent="0.25">
      <c r="A547" s="11" t="str">
        <f>_xlfn.XLOOKUP(Tabla15[[#This Row],[GPS]],Hoja3!A:A,Hoja3!B:B)</f>
        <v>TRACTOR</v>
      </c>
      <c r="B547" s="11" t="str">
        <f>_xlfn.XLOOKUP(GPS!D547,Hoja3!A:A,Hoja3!D:D)</f>
        <v>PETRÓLEO</v>
      </c>
      <c r="C547" s="12" t="str">
        <f>_xlfn.XLOOKUP(Tabla15[[#This Row],[GPS]],Hoja3!A:A,Hoja3!C:C)</f>
        <v>T9</v>
      </c>
      <c r="D547" s="12" t="s">
        <v>28</v>
      </c>
      <c r="E547" s="13">
        <v>46148</v>
      </c>
      <c r="F547" s="11">
        <v>2.81E-2</v>
      </c>
      <c r="G547" s="11">
        <v>0.09</v>
      </c>
      <c r="H547" s="11">
        <v>0</v>
      </c>
      <c r="I547" s="11">
        <v>3.5775000000000001</v>
      </c>
      <c r="J547" s="11">
        <v>14.427099999999999</v>
      </c>
      <c r="K547" s="11">
        <v>0</v>
      </c>
      <c r="L547" s="15">
        <f t="shared" si="8"/>
        <v>1.4999999999999999E-2</v>
      </c>
      <c r="M547" s="14">
        <f>IF(Tabla15[[#This Row],[COMBUSTIBLE]]="PETRÓLEO",L547*$Q$2,L547*$Q$4)</f>
        <v>18.015000000000001</v>
      </c>
      <c r="N547" s="12" t="str">
        <f>IF(OR(WEEKDAY(Tabla15[[#This Row],[Fecha]],2)=6,WEEKDAY(Tabla15[[#This Row],[Fecha]],2)=7),"Fin de semana","Semana")</f>
        <v>Semana</v>
      </c>
    </row>
    <row r="548" spans="1:14" ht="12.75" customHeight="1" x14ac:dyDescent="0.25">
      <c r="A548" s="11" t="str">
        <f>_xlfn.XLOOKUP(Tabla15[[#This Row],[GPS]],Hoja3!A:A,Hoja3!B:B)</f>
        <v>TRACTOR</v>
      </c>
      <c r="B548" s="11" t="str">
        <f>_xlfn.XLOOKUP(GPS!D548,Hoja3!A:A,Hoja3!D:D)</f>
        <v>PETRÓLEO</v>
      </c>
      <c r="C548" s="12" t="str">
        <f>_xlfn.XLOOKUP(Tabla15[[#This Row],[GPS]],Hoja3!A:A,Hoja3!C:C)</f>
        <v>T9</v>
      </c>
      <c r="D548" s="12" t="s">
        <v>28</v>
      </c>
      <c r="E548" s="13">
        <v>46153</v>
      </c>
      <c r="F548" s="11">
        <v>2.69E-2</v>
      </c>
      <c r="G548" s="11">
        <v>0.27</v>
      </c>
      <c r="H548" s="11">
        <v>0</v>
      </c>
      <c r="I548" s="11">
        <v>10.743399999999999</v>
      </c>
      <c r="J548" s="11">
        <v>99.119</v>
      </c>
      <c r="K548" s="11">
        <v>0</v>
      </c>
      <c r="L548" s="15">
        <f t="shared" si="8"/>
        <v>4.5000000000000005E-2</v>
      </c>
      <c r="M548" s="14">
        <f>IF(Tabla15[[#This Row],[COMBUSTIBLE]]="PETRÓLEO",L548*$Q$2,L548*$Q$4)</f>
        <v>54.045000000000009</v>
      </c>
      <c r="N548" s="12" t="str">
        <f>IF(OR(WEEKDAY(Tabla15[[#This Row],[Fecha]],2)=6,WEEKDAY(Tabla15[[#This Row],[Fecha]],2)=7),"Fin de semana","Semana")</f>
        <v>Semana</v>
      </c>
    </row>
    <row r="549" spans="1:14" ht="12.75" customHeight="1" x14ac:dyDescent="0.25">
      <c r="A549" s="11" t="str">
        <f>_xlfn.XLOOKUP(Tabla15[[#This Row],[GPS]],Hoja3!A:A,Hoja3!B:B)</f>
        <v>TRACTOR</v>
      </c>
      <c r="B549" s="11" t="str">
        <f>_xlfn.XLOOKUP(GPS!D549,Hoja3!A:A,Hoja3!D:D)</f>
        <v>PETRÓLEO</v>
      </c>
      <c r="C549" s="12" t="str">
        <f>_xlfn.XLOOKUP(Tabla15[[#This Row],[GPS]],Hoja3!A:A,Hoja3!C:C)</f>
        <v>T13</v>
      </c>
      <c r="D549" s="12" t="s">
        <v>19</v>
      </c>
      <c r="E549" s="13">
        <v>46148</v>
      </c>
      <c r="F549" s="11">
        <v>1.5800000000000002E-2</v>
      </c>
      <c r="G549" s="11">
        <v>0.12</v>
      </c>
      <c r="H549" s="11">
        <v>0</v>
      </c>
      <c r="I549" s="11">
        <v>6.1896000000000004</v>
      </c>
      <c r="J549" s="11">
        <v>16.945799999999998</v>
      </c>
      <c r="K549" s="11">
        <v>0</v>
      </c>
      <c r="L549" s="15">
        <f t="shared" si="8"/>
        <v>0.02</v>
      </c>
      <c r="M549" s="14">
        <f>IF(Tabla15[[#This Row],[COMBUSTIBLE]]="PETRÓLEO",L549*$Q$2,L549*$Q$4)</f>
        <v>24.02</v>
      </c>
      <c r="N549" s="12" t="str">
        <f>IF(OR(WEEKDAY(Tabla15[[#This Row],[Fecha]],2)=6,WEEKDAY(Tabla15[[#This Row],[Fecha]],2)=7),"Fin de semana","Semana")</f>
        <v>Semana</v>
      </c>
    </row>
    <row r="550" spans="1:14" ht="12.75" customHeight="1" x14ac:dyDescent="0.25">
      <c r="A550" s="11" t="str">
        <f>_xlfn.XLOOKUP(Tabla15[[#This Row],[GPS]],Hoja3!A:A,Hoja3!B:B)</f>
        <v>TRACTOR</v>
      </c>
      <c r="B550" s="11" t="str">
        <f>_xlfn.XLOOKUP(GPS!D550,Hoja3!A:A,Hoja3!D:D)</f>
        <v>PETRÓLEO</v>
      </c>
      <c r="C550" s="12" t="str">
        <f>_xlfn.XLOOKUP(Tabla15[[#This Row],[GPS]],Hoja3!A:A,Hoja3!C:C)</f>
        <v>T13</v>
      </c>
      <c r="D550" s="12" t="s">
        <v>19</v>
      </c>
      <c r="E550" s="13">
        <v>46150</v>
      </c>
      <c r="F550" s="11">
        <v>4.7000000000000002E-3</v>
      </c>
      <c r="G550" s="11">
        <v>0.18</v>
      </c>
      <c r="H550" s="11">
        <v>0</v>
      </c>
      <c r="I550" s="11">
        <v>5.7523</v>
      </c>
      <c r="J550" s="11">
        <v>15</v>
      </c>
      <c r="K550" s="11">
        <v>0</v>
      </c>
      <c r="L550" s="15">
        <f t="shared" si="8"/>
        <v>0.03</v>
      </c>
      <c r="M550" s="14">
        <f>IF(Tabla15[[#This Row],[COMBUSTIBLE]]="PETRÓLEO",L550*$Q$2,L550*$Q$4)</f>
        <v>36.03</v>
      </c>
      <c r="N550" s="12" t="str">
        <f>IF(OR(WEEKDAY(Tabla15[[#This Row],[Fecha]],2)=6,WEEKDAY(Tabla15[[#This Row],[Fecha]],2)=7),"Fin de semana","Semana")</f>
        <v>Semana</v>
      </c>
    </row>
    <row r="551" spans="1:14" ht="12.75" customHeight="1" x14ac:dyDescent="0.25">
      <c r="A551" s="11" t="str">
        <f>_xlfn.XLOOKUP(Tabla15[[#This Row],[GPS]],Hoja3!A:A,Hoja3!B:B)</f>
        <v>CAMIONETA</v>
      </c>
      <c r="B551" s="11" t="str">
        <f>_xlfn.XLOOKUP(GPS!D551,Hoja3!A:A,Hoja3!D:D)</f>
        <v>BENCINA</v>
      </c>
      <c r="C551" s="12" t="str">
        <f>_xlfn.XLOOKUP(Tabla15[[#This Row],[GPS]],Hoja3!A:A,Hoja3!C:C)</f>
        <v>VG PIÑALEO</v>
      </c>
      <c r="D551" s="12" t="s">
        <v>114</v>
      </c>
      <c r="E551" s="13">
        <v>46150</v>
      </c>
      <c r="F551" s="11">
        <v>0</v>
      </c>
      <c r="G551" s="11">
        <v>148.21</v>
      </c>
      <c r="H551" s="11">
        <v>1</v>
      </c>
      <c r="I551" s="11">
        <v>37.447499999999998</v>
      </c>
      <c r="J551" s="11">
        <v>117.0001</v>
      </c>
      <c r="K551" s="11">
        <v>0</v>
      </c>
      <c r="L551" s="15">
        <f t="shared" si="8"/>
        <v>13.473636363636365</v>
      </c>
      <c r="M551" s="14">
        <f>IF(Tabla15[[#This Row],[COMBUSTIBLE]]="PETRÓLEO",L551*$Q$2,L551*$Q$4)</f>
        <v>20884.136363636364</v>
      </c>
      <c r="N551" s="12" t="str">
        <f>IF(OR(WEEKDAY(Tabla15[[#This Row],[Fecha]],2)=6,WEEKDAY(Tabla15[[#This Row],[Fecha]],2)=7),"Fin de semana","Semana")</f>
        <v>Semana</v>
      </c>
    </row>
    <row r="552" spans="1:14" ht="12.75" customHeight="1" x14ac:dyDescent="0.25">
      <c r="A552" s="11" t="str">
        <f>_xlfn.XLOOKUP(Tabla15[[#This Row],[GPS]],Hoja3!A:A,Hoja3!B:B)</f>
        <v>CAMIONETA</v>
      </c>
      <c r="B552" s="11" t="str">
        <f>_xlfn.XLOOKUP(GPS!D552,Hoja3!A:A,Hoja3!D:D)</f>
        <v>PETRÓLEO</v>
      </c>
      <c r="C552" s="12" t="str">
        <f>_xlfn.XLOOKUP(Tabla15[[#This Row],[GPS]],Hoja3!A:A,Hoja3!C:C)</f>
        <v>RODRIGO SALINAS</v>
      </c>
      <c r="D552" s="12" t="s">
        <v>109</v>
      </c>
      <c r="E552" s="13">
        <v>46153</v>
      </c>
      <c r="F552" s="11">
        <v>0</v>
      </c>
      <c r="G552" s="11">
        <v>0.02</v>
      </c>
      <c r="H552" s="11">
        <v>0</v>
      </c>
      <c r="I552" s="11">
        <v>26.2058</v>
      </c>
      <c r="J552" s="11">
        <v>26.2058</v>
      </c>
      <c r="K552" s="11">
        <v>0</v>
      </c>
      <c r="L552" s="15">
        <f t="shared" si="8"/>
        <v>2.2222222222222222E-3</v>
      </c>
      <c r="M552" s="14">
        <f>IF(Tabla15[[#This Row],[COMBUSTIBLE]]="PETRÓLEO",L552*$Q$2,L552*$Q$4)</f>
        <v>2.6688888888888891</v>
      </c>
      <c r="N552" s="12" t="str">
        <f>IF(OR(WEEKDAY(Tabla15[[#This Row],[Fecha]],2)=6,WEEKDAY(Tabla15[[#This Row],[Fecha]],2)=7),"Fin de semana","Semana")</f>
        <v>Semana</v>
      </c>
    </row>
    <row r="553" spans="1:14" ht="12.75" customHeight="1" x14ac:dyDescent="0.25">
      <c r="A553" s="11" t="str">
        <f>_xlfn.XLOOKUP(Tabla15[[#This Row],[GPS]],Hoja3!A:A,Hoja3!B:B)</f>
        <v>CAMIONETA</v>
      </c>
      <c r="B553" s="11" t="str">
        <f>_xlfn.XLOOKUP(GPS!D553,Hoja3!A:A,Hoja3!D:D)</f>
        <v>BENCINA</v>
      </c>
      <c r="C553" s="12" t="str">
        <f>_xlfn.XLOOKUP(Tabla15[[#This Row],[GPS]],Hoja3!A:A,Hoja3!C:C)</f>
        <v>VG GERARDO</v>
      </c>
      <c r="D553" s="12" t="s">
        <v>118</v>
      </c>
      <c r="E553" s="13">
        <v>46147</v>
      </c>
      <c r="F553" s="11">
        <v>0</v>
      </c>
      <c r="G553" s="11">
        <v>55.57</v>
      </c>
      <c r="H553" s="11">
        <v>1</v>
      </c>
      <c r="I553" s="11">
        <v>27.774100000000001</v>
      </c>
      <c r="J553" s="11">
        <v>80.000100000000003</v>
      </c>
      <c r="K553" s="11">
        <v>0</v>
      </c>
      <c r="L553" s="15">
        <f t="shared" si="8"/>
        <v>5.0518181818181818</v>
      </c>
      <c r="M553" s="14">
        <f>IF(Tabla15[[#This Row],[COMBUSTIBLE]]="PETRÓLEO",L553*$Q$2,L553*$Q$4)</f>
        <v>7830.318181818182</v>
      </c>
      <c r="N553" s="12" t="str">
        <f>IF(OR(WEEKDAY(Tabla15[[#This Row],[Fecha]],2)=6,WEEKDAY(Tabla15[[#This Row],[Fecha]],2)=7),"Fin de semana","Semana")</f>
        <v>Semana</v>
      </c>
    </row>
    <row r="554" spans="1:14" ht="12.75" customHeight="1" x14ac:dyDescent="0.25">
      <c r="A554" s="11" t="str">
        <f>_xlfn.XLOOKUP(Tabla15[[#This Row],[GPS]],Hoja3!A:A,Hoja3!B:B)</f>
        <v>CAMIONETA</v>
      </c>
      <c r="B554" s="11" t="str">
        <f>_xlfn.XLOOKUP(GPS!D554,Hoja3!A:A,Hoja3!D:D)</f>
        <v>BENCINA</v>
      </c>
      <c r="C554" s="12" t="str">
        <f>_xlfn.XLOOKUP(Tabla15[[#This Row],[GPS]],Hoja3!A:A,Hoja3!C:C)</f>
        <v>VG GERARDO</v>
      </c>
      <c r="D554" s="12" t="s">
        <v>118</v>
      </c>
      <c r="E554" s="13">
        <v>46149</v>
      </c>
      <c r="F554" s="11">
        <v>0</v>
      </c>
      <c r="G554" s="11">
        <v>93.2</v>
      </c>
      <c r="H554" s="11">
        <v>1</v>
      </c>
      <c r="I554" s="11">
        <v>42.945099999999996</v>
      </c>
      <c r="J554" s="11">
        <v>117.0001</v>
      </c>
      <c r="K554" s="11">
        <v>0</v>
      </c>
      <c r="L554" s="15">
        <f t="shared" si="8"/>
        <v>8.4727272727272727</v>
      </c>
      <c r="M554" s="14">
        <f>IF(Tabla15[[#This Row],[COMBUSTIBLE]]="PETRÓLEO",L554*$Q$2,L554*$Q$4)</f>
        <v>13132.727272727272</v>
      </c>
      <c r="N554" s="12" t="str">
        <f>IF(OR(WEEKDAY(Tabla15[[#This Row],[Fecha]],2)=6,WEEKDAY(Tabla15[[#This Row],[Fecha]],2)=7),"Fin de semana","Semana")</f>
        <v>Semana</v>
      </c>
    </row>
    <row r="555" spans="1:14" ht="12.75" customHeight="1" x14ac:dyDescent="0.25">
      <c r="A555" s="11" t="str">
        <f>_xlfn.XLOOKUP(Tabla15[[#This Row],[GPS]],Hoja3!A:A,Hoja3!B:B)</f>
        <v>CAMIONETA</v>
      </c>
      <c r="B555" s="11" t="str">
        <f>_xlfn.XLOOKUP(GPS!D555,Hoja3!A:A,Hoja3!D:D)</f>
        <v>BENCINA</v>
      </c>
      <c r="C555" s="12" t="str">
        <f>_xlfn.XLOOKUP(Tabla15[[#This Row],[GPS]],Hoja3!A:A,Hoja3!C:C)</f>
        <v>VG PIÑALEO</v>
      </c>
      <c r="D555" s="12" t="s">
        <v>114</v>
      </c>
      <c r="E555" s="13">
        <v>46147</v>
      </c>
      <c r="F555" s="11">
        <v>0</v>
      </c>
      <c r="G555" s="11">
        <v>40.630000000000003</v>
      </c>
      <c r="H555" s="11">
        <v>1</v>
      </c>
      <c r="I555" s="11">
        <v>34.913699999999999</v>
      </c>
      <c r="J555" s="11">
        <v>99</v>
      </c>
      <c r="K555" s="11">
        <v>0</v>
      </c>
      <c r="L555" s="15">
        <f t="shared" si="8"/>
        <v>3.6936363636363638</v>
      </c>
      <c r="M555" s="14">
        <f>IF(Tabla15[[#This Row],[COMBUSTIBLE]]="PETRÓLEO",L555*$Q$2,L555*$Q$4)</f>
        <v>5725.136363636364</v>
      </c>
      <c r="N555" s="12" t="str">
        <f>IF(OR(WEEKDAY(Tabla15[[#This Row],[Fecha]],2)=6,WEEKDAY(Tabla15[[#This Row],[Fecha]],2)=7),"Fin de semana","Semana")</f>
        <v>Semana</v>
      </c>
    </row>
    <row r="556" spans="1:14" ht="12.75" customHeight="1" x14ac:dyDescent="0.25">
      <c r="A556" s="11" t="str">
        <f>_xlfn.XLOOKUP(Tabla15[[#This Row],[GPS]],Hoja3!A:A,Hoja3!B:B)</f>
        <v>CAMIONETA</v>
      </c>
      <c r="B556" s="11" t="str">
        <f>_xlfn.XLOOKUP(GPS!D556,Hoja3!A:A,Hoja3!D:D)</f>
        <v>BENCINA</v>
      </c>
      <c r="C556" s="12" t="str">
        <f>_xlfn.XLOOKUP(Tabla15[[#This Row],[GPS]],Hoja3!A:A,Hoja3!C:C)</f>
        <v>VG PIÑALEO</v>
      </c>
      <c r="D556" s="12" t="s">
        <v>114</v>
      </c>
      <c r="E556" s="13">
        <v>46153</v>
      </c>
      <c r="F556" s="11">
        <v>0</v>
      </c>
      <c r="G556" s="11">
        <v>77.459999999999994</v>
      </c>
      <c r="H556" s="11">
        <v>1</v>
      </c>
      <c r="I556" s="11">
        <v>33.8155</v>
      </c>
      <c r="J556" s="11">
        <v>110.0001</v>
      </c>
      <c r="K556" s="11">
        <v>0</v>
      </c>
      <c r="L556" s="15">
        <f t="shared" si="8"/>
        <v>7.0418181818181811</v>
      </c>
      <c r="M556" s="14">
        <f>IF(Tabla15[[#This Row],[COMBUSTIBLE]]="PETRÓLEO",L556*$Q$2,L556*$Q$4)</f>
        <v>10914.81818181818</v>
      </c>
      <c r="N556" s="12" t="str">
        <f>IF(OR(WEEKDAY(Tabla15[[#This Row],[Fecha]],2)=6,WEEKDAY(Tabla15[[#This Row],[Fecha]],2)=7),"Fin de semana","Semana")</f>
        <v>Semana</v>
      </c>
    </row>
    <row r="557" spans="1:14" ht="12.75" customHeight="1" x14ac:dyDescent="0.25">
      <c r="A557" s="11" t="str">
        <f>_xlfn.XLOOKUP(Tabla15[[#This Row],[GPS]],Hoja3!A:A,Hoja3!B:B)</f>
        <v>TRACTOR</v>
      </c>
      <c r="B557" s="11" t="str">
        <f>_xlfn.XLOOKUP(GPS!D557,Hoja3!A:A,Hoja3!D:D)</f>
        <v>PETRÓLEO</v>
      </c>
      <c r="C557" s="12" t="str">
        <f>_xlfn.XLOOKUP(Tabla15[[#This Row],[GPS]],Hoja3!A:A,Hoja3!C:C)</f>
        <v>T4</v>
      </c>
      <c r="D557" s="12" t="s">
        <v>23</v>
      </c>
      <c r="E557" s="13">
        <v>46151</v>
      </c>
      <c r="F557" s="11">
        <v>0</v>
      </c>
      <c r="G557" s="11">
        <v>0.01</v>
      </c>
      <c r="H557" s="11">
        <v>0</v>
      </c>
      <c r="I557" s="11">
        <v>11.1305</v>
      </c>
      <c r="J557" s="11">
        <v>11.1305</v>
      </c>
      <c r="K557" s="11">
        <v>0</v>
      </c>
      <c r="L557" s="15">
        <f t="shared" si="8"/>
        <v>1.6666666666666668E-3</v>
      </c>
      <c r="M557" s="14">
        <f>IF(Tabla15[[#This Row],[COMBUSTIBLE]]="PETRÓLEO",L557*$Q$2,L557*$Q$4)</f>
        <v>2.0016666666666669</v>
      </c>
      <c r="N557" s="12" t="str">
        <f>IF(OR(WEEKDAY(Tabla15[[#This Row],[Fecha]],2)=6,WEEKDAY(Tabla15[[#This Row],[Fecha]],2)=7),"Fin de semana","Semana")</f>
        <v>Fin de semana</v>
      </c>
    </row>
    <row r="558" spans="1:14" ht="12.75" customHeight="1" x14ac:dyDescent="0.25">
      <c r="A558" s="11" t="str">
        <f>_xlfn.XLOOKUP(Tabla15[[#This Row],[GPS]],Hoja3!A:A,Hoja3!B:B)</f>
        <v>CAMIONETA</v>
      </c>
      <c r="B558" s="11" t="str">
        <f>_xlfn.XLOOKUP(GPS!D558,Hoja3!A:A,Hoja3!D:D)</f>
        <v>PETRÓLEO</v>
      </c>
      <c r="C558" s="12" t="str">
        <f>_xlfn.XLOOKUP(Tabla15[[#This Row],[GPS]],Hoja3!A:A,Hoja3!C:C)</f>
        <v>SERGIO ROJAS</v>
      </c>
      <c r="D558" s="12" t="s">
        <v>128</v>
      </c>
      <c r="E558" s="13">
        <v>46147</v>
      </c>
      <c r="F558" s="11">
        <v>0</v>
      </c>
      <c r="G558" s="11">
        <v>97.18</v>
      </c>
      <c r="H558" s="11">
        <v>1</v>
      </c>
      <c r="I558" s="11">
        <v>31.430099999999999</v>
      </c>
      <c r="J558" s="11">
        <v>104.9714</v>
      </c>
      <c r="K558" s="11">
        <v>0</v>
      </c>
      <c r="L558" s="15">
        <f t="shared" si="8"/>
        <v>10.797777777777778</v>
      </c>
      <c r="M558" s="14">
        <f>IF(Tabla15[[#This Row],[COMBUSTIBLE]]="PETRÓLEO",L558*$Q$2,L558*$Q$4)</f>
        <v>12968.131111111112</v>
      </c>
      <c r="N558" s="12" t="str">
        <f>IF(OR(WEEKDAY(Tabla15[[#This Row],[Fecha]],2)=6,WEEKDAY(Tabla15[[#This Row],[Fecha]],2)=7),"Fin de semana","Semana")</f>
        <v>Semana</v>
      </c>
    </row>
    <row r="559" spans="1:14" ht="12.75" customHeight="1" x14ac:dyDescent="0.25">
      <c r="A559" s="11" t="str">
        <f>_xlfn.XLOOKUP(Tabla15[[#This Row],[GPS]],Hoja3!A:A,Hoja3!B:B)</f>
        <v>CAMIONETA</v>
      </c>
      <c r="B559" s="11" t="str">
        <f>_xlfn.XLOOKUP(GPS!D559,Hoja3!A:A,Hoja3!D:D)</f>
        <v>PETRÓLEO</v>
      </c>
      <c r="C559" s="12" t="str">
        <f>_xlfn.XLOOKUP(Tabla15[[#This Row],[GPS]],Hoja3!A:A,Hoja3!C:C)</f>
        <v>SERGIO ROJAS</v>
      </c>
      <c r="D559" s="12" t="s">
        <v>128</v>
      </c>
      <c r="E559" s="13">
        <v>46150</v>
      </c>
      <c r="F559" s="11">
        <v>0</v>
      </c>
      <c r="G559" s="11">
        <v>65.989999999999995</v>
      </c>
      <c r="H559" s="11">
        <v>1</v>
      </c>
      <c r="I559" s="11">
        <v>31.479500000000002</v>
      </c>
      <c r="J559" s="11">
        <v>84.999899999999997</v>
      </c>
      <c r="K559" s="11">
        <v>0</v>
      </c>
      <c r="L559" s="15">
        <f t="shared" si="8"/>
        <v>7.3322222222222218</v>
      </c>
      <c r="M559" s="14">
        <f>IF(Tabla15[[#This Row],[COMBUSTIBLE]]="PETRÓLEO",L559*$Q$2,L559*$Q$4)</f>
        <v>8805.9988888888874</v>
      </c>
      <c r="N559" s="12" t="str">
        <f>IF(OR(WEEKDAY(Tabla15[[#This Row],[Fecha]],2)=6,WEEKDAY(Tabla15[[#This Row],[Fecha]],2)=7),"Fin de semana","Semana")</f>
        <v>Semana</v>
      </c>
    </row>
    <row r="560" spans="1:14" ht="12.75" customHeight="1" x14ac:dyDescent="0.25">
      <c r="A560" s="11" t="str">
        <f>_xlfn.XLOOKUP(Tabla15[[#This Row],[GPS]],Hoja3!A:A,Hoja3!B:B)</f>
        <v>CAMIONETA</v>
      </c>
      <c r="B560" s="11" t="str">
        <f>_xlfn.XLOOKUP(GPS!D560,Hoja3!A:A,Hoja3!D:D)</f>
        <v>BENCINA</v>
      </c>
      <c r="C560" s="12" t="str">
        <f>_xlfn.XLOOKUP(Tabla15[[#This Row],[GPS]],Hoja3!A:A,Hoja3!C:C)</f>
        <v>VG GERARDO</v>
      </c>
      <c r="D560" s="12" t="s">
        <v>118</v>
      </c>
      <c r="E560" s="13">
        <v>46153</v>
      </c>
      <c r="F560" s="11">
        <v>0</v>
      </c>
      <c r="G560" s="11">
        <v>42.53</v>
      </c>
      <c r="H560" s="11">
        <v>1</v>
      </c>
      <c r="I560" s="11">
        <v>21.387699999999999</v>
      </c>
      <c r="J560" s="11">
        <v>99</v>
      </c>
      <c r="K560" s="11">
        <v>0</v>
      </c>
      <c r="L560" s="15">
        <f t="shared" si="8"/>
        <v>3.8663636363636367</v>
      </c>
      <c r="M560" s="14">
        <f>IF(Tabla15[[#This Row],[COMBUSTIBLE]]="PETRÓLEO",L560*$Q$2,L560*$Q$4)</f>
        <v>5992.8636363636369</v>
      </c>
      <c r="N560" s="12" t="str">
        <f>IF(OR(WEEKDAY(Tabla15[[#This Row],[Fecha]],2)=6,WEEKDAY(Tabla15[[#This Row],[Fecha]],2)=7),"Fin de semana","Semana")</f>
        <v>Semana</v>
      </c>
    </row>
    <row r="561" spans="1:14" ht="12.75" customHeight="1" x14ac:dyDescent="0.25">
      <c r="A561" s="11" t="str">
        <f>_xlfn.XLOOKUP(Tabla15[[#This Row],[GPS]],Hoja3!A:A,Hoja3!B:B)</f>
        <v>CAMIONETA</v>
      </c>
      <c r="B561" s="11" t="str">
        <f>_xlfn.XLOOKUP(GPS!D561,Hoja3!A:A,Hoja3!D:D)</f>
        <v>PETRÓLEO</v>
      </c>
      <c r="C561" s="12" t="str">
        <f>_xlfn.XLOOKUP(Tabla15[[#This Row],[GPS]],Hoja3!A:A,Hoja3!C:C)</f>
        <v>SERGIO ROJAS</v>
      </c>
      <c r="D561" s="12" t="s">
        <v>128</v>
      </c>
      <c r="E561" s="13">
        <v>46148</v>
      </c>
      <c r="F561" s="11">
        <v>0</v>
      </c>
      <c r="G561" s="11">
        <v>107.77</v>
      </c>
      <c r="H561" s="11">
        <v>1</v>
      </c>
      <c r="I561" s="11">
        <v>32.175199999999997</v>
      </c>
      <c r="J561" s="11">
        <v>104</v>
      </c>
      <c r="K561" s="11">
        <v>0</v>
      </c>
      <c r="L561" s="15">
        <f t="shared" si="8"/>
        <v>11.974444444444444</v>
      </c>
      <c r="M561" s="14">
        <f>IF(Tabla15[[#This Row],[COMBUSTIBLE]]="PETRÓLEO",L561*$Q$2,L561*$Q$4)</f>
        <v>14381.307777777778</v>
      </c>
      <c r="N561" s="12" t="str">
        <f>IF(OR(WEEKDAY(Tabla15[[#This Row],[Fecha]],2)=6,WEEKDAY(Tabla15[[#This Row],[Fecha]],2)=7),"Fin de semana","Semana")</f>
        <v>Semana</v>
      </c>
    </row>
    <row r="562" spans="1:14" ht="12.75" customHeight="1" x14ac:dyDescent="0.25">
      <c r="A562" s="11" t="str">
        <f>_xlfn.XLOOKUP(Tabla15[[#This Row],[GPS]],Hoja3!A:A,Hoja3!B:B)</f>
        <v>CAMIONETA</v>
      </c>
      <c r="B562" s="11" t="str">
        <f>_xlfn.XLOOKUP(GPS!D562,Hoja3!A:A,Hoja3!D:D)</f>
        <v>BENCINA</v>
      </c>
      <c r="C562" s="12" t="str">
        <f>_xlfn.XLOOKUP(Tabla15[[#This Row],[GPS]],Hoja3!A:A,Hoja3!C:C)</f>
        <v>VG CERRILLOS</v>
      </c>
      <c r="D562" s="12" t="s">
        <v>137</v>
      </c>
      <c r="E562" s="13">
        <v>46148</v>
      </c>
      <c r="F562" s="11">
        <v>0</v>
      </c>
      <c r="G562" s="11">
        <v>21.67</v>
      </c>
      <c r="H562" s="11">
        <v>1</v>
      </c>
      <c r="I562" s="11">
        <v>11.4491</v>
      </c>
      <c r="J562" s="11">
        <v>41.021799999999999</v>
      </c>
      <c r="K562" s="11">
        <v>0</v>
      </c>
      <c r="L562" s="15">
        <f t="shared" si="8"/>
        <v>1.9700000000000002</v>
      </c>
      <c r="M562" s="14">
        <f>IF(Tabla15[[#This Row],[COMBUSTIBLE]]="PETRÓLEO",L562*$Q$2,L562*$Q$4)</f>
        <v>3053.5000000000005</v>
      </c>
      <c r="N562" s="12" t="str">
        <f>IF(OR(WEEKDAY(Tabla15[[#This Row],[Fecha]],2)=6,WEEKDAY(Tabla15[[#This Row],[Fecha]],2)=7),"Fin de semana","Semana")</f>
        <v>Semana</v>
      </c>
    </row>
    <row r="563" spans="1:14" ht="12.75" customHeight="1" x14ac:dyDescent="0.25">
      <c r="A563" s="11" t="str">
        <f>_xlfn.XLOOKUP(Tabla15[[#This Row],[GPS]],Hoja3!A:A,Hoja3!B:B)</f>
        <v>CAMIONETA</v>
      </c>
      <c r="B563" s="11" t="str">
        <f>_xlfn.XLOOKUP(GPS!D563,Hoja3!A:A,Hoja3!D:D)</f>
        <v>BENCINA</v>
      </c>
      <c r="C563" s="12" t="str">
        <f>_xlfn.XLOOKUP(Tabla15[[#This Row],[GPS]],Hoja3!A:A,Hoja3!C:C)</f>
        <v>VG PIÑALEO</v>
      </c>
      <c r="D563" s="12" t="s">
        <v>114</v>
      </c>
      <c r="E563" s="13">
        <v>46152</v>
      </c>
      <c r="F563" s="11">
        <v>0</v>
      </c>
      <c r="G563" s="11">
        <v>21.62</v>
      </c>
      <c r="H563" s="11">
        <v>1</v>
      </c>
      <c r="I563" s="11">
        <v>26.377400000000002</v>
      </c>
      <c r="J563" s="11">
        <v>85.655000000000001</v>
      </c>
      <c r="K563" s="11">
        <v>0</v>
      </c>
      <c r="L563" s="15">
        <f t="shared" si="8"/>
        <v>1.9654545454545456</v>
      </c>
      <c r="M563" s="14">
        <f>IF(Tabla15[[#This Row],[COMBUSTIBLE]]="PETRÓLEO",L563*$Q$2,L563*$Q$4)</f>
        <v>3046.4545454545455</v>
      </c>
      <c r="N563" s="12" t="str">
        <f>IF(OR(WEEKDAY(Tabla15[[#This Row],[Fecha]],2)=6,WEEKDAY(Tabla15[[#This Row],[Fecha]],2)=7),"Fin de semana","Semana")</f>
        <v>Fin de semana</v>
      </c>
    </row>
    <row r="564" spans="1:14" ht="12.75" customHeight="1" x14ac:dyDescent="0.25">
      <c r="A564" s="11" t="str">
        <f>_xlfn.XLOOKUP(Tabla15[[#This Row],[GPS]],Hoja3!A:A,Hoja3!B:B)</f>
        <v>CAMIONETA</v>
      </c>
      <c r="B564" s="11" t="str">
        <f>_xlfn.XLOOKUP(GPS!D564,Hoja3!A:A,Hoja3!D:D)</f>
        <v>BENCINA</v>
      </c>
      <c r="C564" s="12" t="str">
        <f>_xlfn.XLOOKUP(Tabla15[[#This Row],[GPS]],Hoja3!A:A,Hoja3!C:C)</f>
        <v>VG GERARDO</v>
      </c>
      <c r="D564" s="12" t="s">
        <v>118</v>
      </c>
      <c r="E564" s="13">
        <v>46152</v>
      </c>
      <c r="F564" s="11">
        <v>0</v>
      </c>
      <c r="G564" s="11">
        <v>0.01</v>
      </c>
      <c r="H564" s="11">
        <v>0</v>
      </c>
      <c r="I564" s="11">
        <v>13.815899999999999</v>
      </c>
      <c r="J564" s="11">
        <v>13.815899999999999</v>
      </c>
      <c r="K564" s="11">
        <v>0</v>
      </c>
      <c r="L564" s="15">
        <f t="shared" si="8"/>
        <v>9.0909090909090909E-4</v>
      </c>
      <c r="M564" s="14">
        <f>IF(Tabla15[[#This Row],[COMBUSTIBLE]]="PETRÓLEO",L564*$Q$2,L564*$Q$4)</f>
        <v>1.4090909090909092</v>
      </c>
      <c r="N564" s="12" t="str">
        <f>IF(OR(WEEKDAY(Tabla15[[#This Row],[Fecha]],2)=6,WEEKDAY(Tabla15[[#This Row],[Fecha]],2)=7),"Fin de semana","Semana")</f>
        <v>Fin de semana</v>
      </c>
    </row>
    <row r="565" spans="1:14" ht="12.75" customHeight="1" x14ac:dyDescent="0.25">
      <c r="A565" s="11" t="str">
        <f>_xlfn.XLOOKUP(Tabla15[[#This Row],[GPS]],Hoja3!A:A,Hoja3!B:B)</f>
        <v>CAMIONETA</v>
      </c>
      <c r="B565" s="11" t="str">
        <f>_xlfn.XLOOKUP(GPS!D565,Hoja3!A:A,Hoja3!D:D)</f>
        <v>BENCINA</v>
      </c>
      <c r="C565" s="12" t="str">
        <f>_xlfn.XLOOKUP(Tabla15[[#This Row],[GPS]],Hoja3!A:A,Hoja3!C:C)</f>
        <v>VG GERARDO</v>
      </c>
      <c r="D565" s="12" t="s">
        <v>118</v>
      </c>
      <c r="E565" s="13">
        <v>46148</v>
      </c>
      <c r="F565" s="11">
        <v>0</v>
      </c>
      <c r="G565" s="11">
        <v>12.05</v>
      </c>
      <c r="H565" s="11">
        <v>1</v>
      </c>
      <c r="I565" s="11">
        <v>18.047699999999999</v>
      </c>
      <c r="J565" s="11">
        <v>69.9315</v>
      </c>
      <c r="K565" s="11">
        <v>0</v>
      </c>
      <c r="L565" s="15">
        <f t="shared" si="8"/>
        <v>1.0954545454545455</v>
      </c>
      <c r="M565" s="14">
        <f>IF(Tabla15[[#This Row],[COMBUSTIBLE]]="PETRÓLEO",L565*$Q$2,L565*$Q$4)</f>
        <v>1697.9545454545455</v>
      </c>
      <c r="N565" s="12" t="str">
        <f>IF(OR(WEEKDAY(Tabla15[[#This Row],[Fecha]],2)=6,WEEKDAY(Tabla15[[#This Row],[Fecha]],2)=7),"Fin de semana","Semana")</f>
        <v>Semana</v>
      </c>
    </row>
    <row r="566" spans="1:14" ht="12.75" customHeight="1" x14ac:dyDescent="0.25">
      <c r="A566" s="11" t="str">
        <f>_xlfn.XLOOKUP(Tabla15[[#This Row],[GPS]],Hoja3!A:A,Hoja3!B:B)</f>
        <v>CAMIONETA</v>
      </c>
      <c r="B566" s="11" t="str">
        <f>_xlfn.XLOOKUP(GPS!D566,Hoja3!A:A,Hoja3!D:D)</f>
        <v>BENCINA</v>
      </c>
      <c r="C566" s="12" t="str">
        <f>_xlfn.XLOOKUP(Tabla15[[#This Row],[GPS]],Hoja3!A:A,Hoja3!C:C)</f>
        <v>VG CERRILLOS</v>
      </c>
      <c r="D566" s="12" t="s">
        <v>137</v>
      </c>
      <c r="E566" s="13">
        <v>46147</v>
      </c>
      <c r="F566" s="11">
        <v>0</v>
      </c>
      <c r="G566" s="11">
        <v>61.59</v>
      </c>
      <c r="H566" s="11">
        <v>1</v>
      </c>
      <c r="I566" s="11">
        <v>20.717099999999999</v>
      </c>
      <c r="J566" s="11">
        <v>90</v>
      </c>
      <c r="K566" s="11">
        <v>0</v>
      </c>
      <c r="L566" s="15">
        <f t="shared" si="8"/>
        <v>5.5990909090909096</v>
      </c>
      <c r="M566" s="14">
        <f>IF(Tabla15[[#This Row],[COMBUSTIBLE]]="PETRÓLEO",L566*$Q$2,L566*$Q$4)</f>
        <v>8678.5909090909099</v>
      </c>
      <c r="N566" s="12" t="str">
        <f>IF(OR(WEEKDAY(Tabla15[[#This Row],[Fecha]],2)=6,WEEKDAY(Tabla15[[#This Row],[Fecha]],2)=7),"Fin de semana","Semana")</f>
        <v>Semana</v>
      </c>
    </row>
    <row r="567" spans="1:14" ht="12.75" customHeight="1" x14ac:dyDescent="0.25">
      <c r="A567" s="11" t="str">
        <f>_xlfn.XLOOKUP(Tabla15[[#This Row],[GPS]],Hoja3!A:A,Hoja3!B:B)</f>
        <v>CAMIONETA</v>
      </c>
      <c r="B567" s="11" t="str">
        <f>_xlfn.XLOOKUP(GPS!D567,Hoja3!A:A,Hoja3!D:D)</f>
        <v>BENCINA</v>
      </c>
      <c r="C567" s="12" t="str">
        <f>_xlfn.XLOOKUP(Tabla15[[#This Row],[GPS]],Hoja3!A:A,Hoja3!C:C)</f>
        <v>VG CERRILLOS</v>
      </c>
      <c r="D567" s="12" t="s">
        <v>137</v>
      </c>
      <c r="E567" s="13">
        <v>46150</v>
      </c>
      <c r="F567" s="11">
        <v>0</v>
      </c>
      <c r="G567" s="11">
        <v>15.66</v>
      </c>
      <c r="H567" s="11">
        <v>1</v>
      </c>
      <c r="I567" s="11">
        <v>10.703200000000001</v>
      </c>
      <c r="J567" s="11">
        <v>36.000100000000003</v>
      </c>
      <c r="K567" s="11">
        <v>0</v>
      </c>
      <c r="L567" s="15">
        <f t="shared" si="8"/>
        <v>1.4236363636363636</v>
      </c>
      <c r="M567" s="14">
        <f>IF(Tabla15[[#This Row],[COMBUSTIBLE]]="PETRÓLEO",L567*$Q$2,L567*$Q$4)</f>
        <v>2206.6363636363635</v>
      </c>
      <c r="N567" s="12" t="str">
        <f>IF(OR(WEEKDAY(Tabla15[[#This Row],[Fecha]],2)=6,WEEKDAY(Tabla15[[#This Row],[Fecha]],2)=7),"Fin de semana","Semana")</f>
        <v>Semana</v>
      </c>
    </row>
    <row r="568" spans="1:14" ht="12.75" customHeight="1" x14ac:dyDescent="0.25">
      <c r="A568" s="11" t="str">
        <f>_xlfn.XLOOKUP(Tabla15[[#This Row],[GPS]],Hoja3!A:A,Hoja3!B:B)</f>
        <v>CAMIONETA</v>
      </c>
      <c r="B568" s="11" t="str">
        <f>_xlfn.XLOOKUP(GPS!D568,Hoja3!A:A,Hoja3!D:D)</f>
        <v>BENCINA</v>
      </c>
      <c r="C568" s="12" t="str">
        <f>_xlfn.XLOOKUP(Tabla15[[#This Row],[GPS]],Hoja3!A:A,Hoja3!C:C)</f>
        <v>VG GERARDO</v>
      </c>
      <c r="D568" s="12" t="s">
        <v>118</v>
      </c>
      <c r="E568" s="13">
        <v>46151</v>
      </c>
      <c r="F568" s="11">
        <v>0</v>
      </c>
      <c r="G568" s="11">
        <v>11.39</v>
      </c>
      <c r="H568" s="11">
        <v>1</v>
      </c>
      <c r="I568" s="11">
        <v>30.790299999999998</v>
      </c>
      <c r="J568" s="11">
        <v>68.000100000000003</v>
      </c>
      <c r="K568" s="11">
        <v>0</v>
      </c>
      <c r="L568" s="15">
        <f t="shared" si="8"/>
        <v>1.0354545454545454</v>
      </c>
      <c r="M568" s="14">
        <f>IF(Tabla15[[#This Row],[COMBUSTIBLE]]="PETRÓLEO",L568*$Q$2,L568*$Q$4)</f>
        <v>1604.9545454545453</v>
      </c>
      <c r="N568" s="12" t="str">
        <f>IF(OR(WEEKDAY(Tabla15[[#This Row],[Fecha]],2)=6,WEEKDAY(Tabla15[[#This Row],[Fecha]],2)=7),"Fin de semana","Semana")</f>
        <v>Fin de semana</v>
      </c>
    </row>
    <row r="569" spans="1:14" ht="12.75" customHeight="1" x14ac:dyDescent="0.25">
      <c r="A569" s="11" t="str">
        <f>_xlfn.XLOOKUP(Tabla15[[#This Row],[GPS]],Hoja3!A:A,Hoja3!B:B)</f>
        <v>CAMIONETA</v>
      </c>
      <c r="B569" s="11" t="str">
        <f>_xlfn.XLOOKUP(GPS!D569,Hoja3!A:A,Hoja3!D:D)</f>
        <v>BENCINA</v>
      </c>
      <c r="C569" s="12" t="str">
        <f>_xlfn.XLOOKUP(Tabla15[[#This Row],[GPS]],Hoja3!A:A,Hoja3!C:C)</f>
        <v>VG PIÑALEO</v>
      </c>
      <c r="D569" s="12" t="s">
        <v>114</v>
      </c>
      <c r="E569" s="13">
        <v>46151</v>
      </c>
      <c r="F569" s="11">
        <v>0</v>
      </c>
      <c r="G569" s="11">
        <v>59.87</v>
      </c>
      <c r="H569" s="11">
        <v>1</v>
      </c>
      <c r="I569" s="11">
        <v>36.576599999999999</v>
      </c>
      <c r="J569" s="11">
        <v>110.0001</v>
      </c>
      <c r="K569" s="11">
        <v>0</v>
      </c>
      <c r="L569" s="15">
        <f t="shared" si="8"/>
        <v>5.4427272727272724</v>
      </c>
      <c r="M569" s="14">
        <f>IF(Tabla15[[#This Row],[COMBUSTIBLE]]="PETRÓLEO",L569*$Q$2,L569*$Q$4)</f>
        <v>8436.2272727272721</v>
      </c>
      <c r="N569" s="12" t="str">
        <f>IF(OR(WEEKDAY(Tabla15[[#This Row],[Fecha]],2)=6,WEEKDAY(Tabla15[[#This Row],[Fecha]],2)=7),"Fin de semana","Semana")</f>
        <v>Fin de semana</v>
      </c>
    </row>
    <row r="570" spans="1:14" ht="12.75" customHeight="1" x14ac:dyDescent="0.25">
      <c r="A570" s="11" t="str">
        <f>_xlfn.XLOOKUP(Tabla15[[#This Row],[GPS]],Hoja3!A:A,Hoja3!B:B)</f>
        <v>CAMIONETA</v>
      </c>
      <c r="B570" s="11" t="str">
        <f>_xlfn.XLOOKUP(GPS!D570,Hoja3!A:A,Hoja3!D:D)</f>
        <v>BENCINA</v>
      </c>
      <c r="C570" s="12" t="str">
        <f>_xlfn.XLOOKUP(Tabla15[[#This Row],[GPS]],Hoja3!A:A,Hoja3!C:C)</f>
        <v>VG PIÑALEO</v>
      </c>
      <c r="D570" s="12" t="s">
        <v>114</v>
      </c>
      <c r="E570" s="13">
        <v>46148</v>
      </c>
      <c r="F570" s="11">
        <v>0</v>
      </c>
      <c r="G570" s="11">
        <v>40.49</v>
      </c>
      <c r="H570" s="11">
        <v>1</v>
      </c>
      <c r="I570" s="11">
        <v>39.633499999999998</v>
      </c>
      <c r="J570" s="11">
        <v>99</v>
      </c>
      <c r="K570" s="11">
        <v>0</v>
      </c>
      <c r="L570" s="15">
        <f t="shared" si="8"/>
        <v>3.6809090909090911</v>
      </c>
      <c r="M570" s="14">
        <f>IF(Tabla15[[#This Row],[COMBUSTIBLE]]="PETRÓLEO",L570*$Q$2,L570*$Q$4)</f>
        <v>5705.409090909091</v>
      </c>
      <c r="N570" s="12" t="str">
        <f>IF(OR(WEEKDAY(Tabla15[[#This Row],[Fecha]],2)=6,WEEKDAY(Tabla15[[#This Row],[Fecha]],2)=7),"Fin de semana","Semana")</f>
        <v>Semana</v>
      </c>
    </row>
    <row r="571" spans="1:14" ht="12.75" customHeight="1" x14ac:dyDescent="0.25">
      <c r="A571" s="11" t="str">
        <f>_xlfn.XLOOKUP(Tabla15[[#This Row],[GPS]],Hoja3!A:A,Hoja3!B:B)</f>
        <v>CAMIONETA</v>
      </c>
      <c r="B571" s="11" t="str">
        <f>_xlfn.XLOOKUP(GPS!D571,Hoja3!A:A,Hoja3!D:D)</f>
        <v>BENCINA</v>
      </c>
      <c r="C571" s="12" t="str">
        <f>_xlfn.XLOOKUP(Tabla15[[#This Row],[GPS]],Hoja3!A:A,Hoja3!C:C)</f>
        <v>VG GERARDO</v>
      </c>
      <c r="D571" s="12" t="s">
        <v>118</v>
      </c>
      <c r="E571" s="13">
        <v>46150</v>
      </c>
      <c r="F571" s="11">
        <v>0</v>
      </c>
      <c r="G571" s="11">
        <v>14.41</v>
      </c>
      <c r="H571" s="11">
        <v>1</v>
      </c>
      <c r="I571" s="11">
        <v>21.496300000000002</v>
      </c>
      <c r="J571" s="11">
        <v>72</v>
      </c>
      <c r="K571" s="11">
        <v>0</v>
      </c>
      <c r="L571" s="15">
        <f t="shared" si="8"/>
        <v>1.31</v>
      </c>
      <c r="M571" s="14">
        <f>IF(Tabla15[[#This Row],[COMBUSTIBLE]]="PETRÓLEO",L571*$Q$2,L571*$Q$4)</f>
        <v>2030.5</v>
      </c>
      <c r="N571" s="12" t="str">
        <f>IF(OR(WEEKDAY(Tabla15[[#This Row],[Fecha]],2)=6,WEEKDAY(Tabla15[[#This Row],[Fecha]],2)=7),"Fin de semana","Semana")</f>
        <v>Semana</v>
      </c>
    </row>
    <row r="572" spans="1:14" ht="12.75" customHeight="1" x14ac:dyDescent="0.25">
      <c r="A572" s="11" t="str">
        <f>_xlfn.XLOOKUP(Tabla15[[#This Row],[GPS]],Hoja3!A:A,Hoja3!B:B)</f>
        <v>CAMIONETA</v>
      </c>
      <c r="B572" s="11" t="str">
        <f>_xlfn.XLOOKUP(GPS!D572,Hoja3!A:A,Hoja3!D:D)</f>
        <v>BENCINA</v>
      </c>
      <c r="C572" s="12" t="str">
        <f>_xlfn.XLOOKUP(Tabla15[[#This Row],[GPS]],Hoja3!A:A,Hoja3!C:C)</f>
        <v>VG CERRILLOS</v>
      </c>
      <c r="D572" s="12" t="s">
        <v>137</v>
      </c>
      <c r="E572" s="13">
        <v>46153</v>
      </c>
      <c r="F572" s="11">
        <v>0</v>
      </c>
      <c r="G572" s="11">
        <v>52.55</v>
      </c>
      <c r="H572" s="11">
        <v>1</v>
      </c>
      <c r="I572" s="11">
        <v>18.411000000000001</v>
      </c>
      <c r="J572" s="11">
        <v>84.999899999999997</v>
      </c>
      <c r="K572" s="11">
        <v>0</v>
      </c>
      <c r="L572" s="15">
        <f t="shared" si="8"/>
        <v>4.7772727272727273</v>
      </c>
      <c r="M572" s="14">
        <f>IF(Tabla15[[#This Row],[COMBUSTIBLE]]="PETRÓLEO",L572*$Q$2,L572*$Q$4)</f>
        <v>7404.772727272727</v>
      </c>
      <c r="N572" s="12" t="str">
        <f>IF(OR(WEEKDAY(Tabla15[[#This Row],[Fecha]],2)=6,WEEKDAY(Tabla15[[#This Row],[Fecha]],2)=7),"Fin de semana","Semana")</f>
        <v>Semana</v>
      </c>
    </row>
    <row r="573" spans="1:14" ht="12.75" customHeight="1" x14ac:dyDescent="0.25">
      <c r="A573" s="11" t="str">
        <f>_xlfn.XLOOKUP(Tabla15[[#This Row],[GPS]],Hoja3!A:A,Hoja3!B:B)</f>
        <v>CAMIONETA</v>
      </c>
      <c r="B573" s="11" t="str">
        <f>_xlfn.XLOOKUP(GPS!D573,Hoja3!A:A,Hoja3!D:D)</f>
        <v>PETRÓLEO</v>
      </c>
      <c r="C573" s="12" t="str">
        <f>_xlfn.XLOOKUP(Tabla15[[#This Row],[GPS]],Hoja3!A:A,Hoja3!C:C)</f>
        <v>SERGIO ROJAS</v>
      </c>
      <c r="D573" s="12" t="s">
        <v>128</v>
      </c>
      <c r="E573" s="13">
        <v>46149</v>
      </c>
      <c r="F573" s="11">
        <v>0</v>
      </c>
      <c r="G573" s="11">
        <v>84.7</v>
      </c>
      <c r="H573" s="11">
        <v>1</v>
      </c>
      <c r="I573" s="11">
        <v>34.598399999999998</v>
      </c>
      <c r="J573" s="11">
        <v>98.211600000000004</v>
      </c>
      <c r="K573" s="11">
        <v>0</v>
      </c>
      <c r="L573" s="15">
        <f t="shared" si="8"/>
        <v>9.4111111111111114</v>
      </c>
      <c r="M573" s="14">
        <f>IF(Tabla15[[#This Row],[COMBUSTIBLE]]="PETRÓLEO",L573*$Q$2,L573*$Q$4)</f>
        <v>11302.744444444445</v>
      </c>
      <c r="N573" s="12" t="str">
        <f>IF(OR(WEEKDAY(Tabla15[[#This Row],[Fecha]],2)=6,WEEKDAY(Tabla15[[#This Row],[Fecha]],2)=7),"Fin de semana","Semana")</f>
        <v>Semana</v>
      </c>
    </row>
    <row r="574" spans="1:14" ht="12.75" customHeight="1" x14ac:dyDescent="0.25">
      <c r="A574" s="11" t="str">
        <f>_xlfn.XLOOKUP(Tabla15[[#This Row],[GPS]],Hoja3!A:A,Hoja3!B:B)</f>
        <v>CAMIONETA</v>
      </c>
      <c r="B574" s="11" t="str">
        <f>_xlfn.XLOOKUP(GPS!D574,Hoja3!A:A,Hoja3!D:D)</f>
        <v>BENCINA</v>
      </c>
      <c r="C574" s="12" t="str">
        <f>_xlfn.XLOOKUP(Tabla15[[#This Row],[GPS]],Hoja3!A:A,Hoja3!C:C)</f>
        <v>VG PIÑALEO</v>
      </c>
      <c r="D574" s="12" t="s">
        <v>114</v>
      </c>
      <c r="E574" s="13">
        <v>46149</v>
      </c>
      <c r="F574" s="11">
        <v>0</v>
      </c>
      <c r="G574" s="11">
        <v>52.81</v>
      </c>
      <c r="H574" s="11">
        <v>1</v>
      </c>
      <c r="I574" s="11">
        <v>35.862900000000003</v>
      </c>
      <c r="J574" s="11">
        <v>100</v>
      </c>
      <c r="K574" s="11">
        <v>0</v>
      </c>
      <c r="L574" s="15">
        <f t="shared" si="8"/>
        <v>4.8009090909090908</v>
      </c>
      <c r="M574" s="14">
        <f>IF(Tabla15[[#This Row],[COMBUSTIBLE]]="PETRÓLEO",L574*$Q$2,L574*$Q$4)</f>
        <v>7441.409090909091</v>
      </c>
      <c r="N574" s="12" t="str">
        <f>IF(OR(WEEKDAY(Tabla15[[#This Row],[Fecha]],2)=6,WEEKDAY(Tabla15[[#This Row],[Fecha]],2)=7),"Fin de semana","Semana")</f>
        <v>Semana</v>
      </c>
    </row>
    <row r="575" spans="1:14" ht="12.75" customHeight="1" x14ac:dyDescent="0.25">
      <c r="A575" s="11" t="str">
        <f>_xlfn.XLOOKUP(Tabla15[[#This Row],[GPS]],Hoja3!A:A,Hoja3!B:B)</f>
        <v>CAMIONETA</v>
      </c>
      <c r="B575" s="11" t="str">
        <f>_xlfn.XLOOKUP(GPS!D575,Hoja3!A:A,Hoja3!D:D)</f>
        <v>PETRÓLEO</v>
      </c>
      <c r="C575" s="12" t="str">
        <f>_xlfn.XLOOKUP(Tabla15[[#This Row],[GPS]],Hoja3!A:A,Hoja3!C:C)</f>
        <v>SERGIO ROJAS</v>
      </c>
      <c r="D575" s="12" t="s">
        <v>128</v>
      </c>
      <c r="E575" s="13">
        <v>46153</v>
      </c>
      <c r="F575" s="11">
        <v>0</v>
      </c>
      <c r="G575" s="11">
        <v>32.630000000000003</v>
      </c>
      <c r="H575" s="11">
        <v>1</v>
      </c>
      <c r="I575" s="11">
        <v>28.556000000000001</v>
      </c>
      <c r="J575" s="11">
        <v>87.000100000000003</v>
      </c>
      <c r="K575" s="11">
        <v>0</v>
      </c>
      <c r="L575" s="15">
        <f t="shared" si="8"/>
        <v>3.6255555555555556</v>
      </c>
      <c r="M575" s="14">
        <f>IF(Tabla15[[#This Row],[COMBUSTIBLE]]="PETRÓLEO",L575*$Q$2,L575*$Q$4)</f>
        <v>4354.2922222222223</v>
      </c>
      <c r="N575" s="12" t="str">
        <f>IF(OR(WEEKDAY(Tabla15[[#This Row],[Fecha]],2)=6,WEEKDAY(Tabla15[[#This Row],[Fecha]],2)=7),"Fin de semana","Semana")</f>
        <v>Semana</v>
      </c>
    </row>
    <row r="576" spans="1:14" ht="12.75" customHeight="1" x14ac:dyDescent="0.25">
      <c r="A576" s="11" t="str">
        <f>_xlfn.XLOOKUP(Tabla15[[#This Row],[GPS]],Hoja3!A:A,Hoja3!B:B)</f>
        <v>TRACTOR</v>
      </c>
      <c r="B576" s="11" t="str">
        <f>_xlfn.XLOOKUP(GPS!D576,Hoja3!A:A,Hoja3!D:D)</f>
        <v>PETRÓLEO</v>
      </c>
      <c r="C576" s="12" t="str">
        <f>_xlfn.XLOOKUP(Tabla15[[#This Row],[GPS]],Hoja3!A:A,Hoja3!C:C)</f>
        <v>T7</v>
      </c>
      <c r="D576" s="12" t="s">
        <v>26</v>
      </c>
      <c r="E576" s="13">
        <v>46155</v>
      </c>
      <c r="F576" s="11">
        <v>14.9003</v>
      </c>
      <c r="G576" s="11">
        <v>2.67</v>
      </c>
      <c r="H576" s="11">
        <v>1</v>
      </c>
      <c r="I576" s="11">
        <v>4.7248000000000001</v>
      </c>
      <c r="J576" s="11">
        <v>32.6693</v>
      </c>
      <c r="K576" s="11">
        <v>1.86</v>
      </c>
      <c r="L576" s="15">
        <f t="shared" si="8"/>
        <v>0.44500000000000001</v>
      </c>
      <c r="M576" s="14">
        <f>IF(Tabla15[[#This Row],[COMBUSTIBLE]]="PETRÓLEO",L576*$Q$2,L576*$Q$4)</f>
        <v>534.44500000000005</v>
      </c>
      <c r="N576" s="12" t="str">
        <f>IF(OR(WEEKDAY(Tabla15[[#This Row],[Fecha]],2)=6,WEEKDAY(Tabla15[[#This Row],[Fecha]],2)=7),"Fin de semana","Semana")</f>
        <v>Semana</v>
      </c>
    </row>
    <row r="577" spans="1:14" ht="12.75" customHeight="1" x14ac:dyDescent="0.25">
      <c r="A577" s="11" t="str">
        <f>_xlfn.XLOOKUP(Tabla15[[#This Row],[GPS]],Hoja3!A:A,Hoja3!B:B)</f>
        <v>CAMIONETA</v>
      </c>
      <c r="B577" s="11" t="str">
        <f>_xlfn.XLOOKUP(GPS!D577,Hoja3!A:A,Hoja3!D:D)</f>
        <v>PETRÓLEO</v>
      </c>
      <c r="C577" s="12" t="str">
        <f>_xlfn.XLOOKUP(Tabla15[[#This Row],[GPS]],Hoja3!A:A,Hoja3!C:C)</f>
        <v>CAMPO CERRILLOS</v>
      </c>
      <c r="D577" s="12" t="s">
        <v>121</v>
      </c>
      <c r="E577" s="13">
        <v>46155</v>
      </c>
      <c r="F577" s="11">
        <v>5.5891999999999999</v>
      </c>
      <c r="G577" s="11">
        <v>15.78</v>
      </c>
      <c r="H577" s="11">
        <v>1</v>
      </c>
      <c r="I577" s="11">
        <v>13.925599999999999</v>
      </c>
      <c r="J577" s="11">
        <v>67.505399999999995</v>
      </c>
      <c r="K577" s="11">
        <v>0.7</v>
      </c>
      <c r="L577" s="15">
        <f t="shared" si="8"/>
        <v>1.7533333333333332</v>
      </c>
      <c r="M577" s="14">
        <f>IF(Tabla15[[#This Row],[COMBUSTIBLE]]="PETRÓLEO",L577*$Q$2,L577*$Q$4)</f>
        <v>2105.7533333333331</v>
      </c>
      <c r="N577" s="12" t="str">
        <f>IF(OR(WEEKDAY(Tabla15[[#This Row],[Fecha]],2)=6,WEEKDAY(Tabla15[[#This Row],[Fecha]],2)=7),"Fin de semana","Semana")</f>
        <v>Semana</v>
      </c>
    </row>
    <row r="578" spans="1:14" ht="12.75" customHeight="1" x14ac:dyDescent="0.25">
      <c r="A578" s="11" t="str">
        <f>_xlfn.XLOOKUP(Tabla15[[#This Row],[GPS]],Hoja3!A:A,Hoja3!B:B)</f>
        <v>TRACTOR</v>
      </c>
      <c r="B578" s="11" t="str">
        <f>_xlfn.XLOOKUP(GPS!D578,Hoja3!A:A,Hoja3!D:D)</f>
        <v>PETRÓLEO</v>
      </c>
      <c r="C578" s="12" t="str">
        <f>_xlfn.XLOOKUP(Tabla15[[#This Row],[GPS]],Hoja3!A:A,Hoja3!C:C)</f>
        <v>T6</v>
      </c>
      <c r="D578" s="12" t="s">
        <v>25</v>
      </c>
      <c r="E578" s="13">
        <v>46155</v>
      </c>
      <c r="F578" s="11">
        <v>4.5591999999999997</v>
      </c>
      <c r="G578" s="11">
        <v>6.81</v>
      </c>
      <c r="H578" s="11">
        <v>1</v>
      </c>
      <c r="I578" s="11">
        <v>4.8118999999999996</v>
      </c>
      <c r="J578" s="11">
        <v>14.39</v>
      </c>
      <c r="K578" s="11">
        <v>0.56999999999999995</v>
      </c>
      <c r="L578" s="15">
        <f t="shared" ref="L578:L641" si="9">IF(AND(A578="CAMIONETA",B578="BENCINA"),G578/$Q$5,IF(A578="TRACTOR",G578/$Q$3,G578/$Q$1))</f>
        <v>1.135</v>
      </c>
      <c r="M578" s="14">
        <f>IF(Tabla15[[#This Row],[COMBUSTIBLE]]="PETRÓLEO",L578*$Q$2,L578*$Q$4)</f>
        <v>1363.135</v>
      </c>
      <c r="N578" s="12" t="str">
        <f>IF(OR(WEEKDAY(Tabla15[[#This Row],[Fecha]],2)=6,WEEKDAY(Tabla15[[#This Row],[Fecha]],2)=7),"Fin de semana","Semana")</f>
        <v>Semana</v>
      </c>
    </row>
    <row r="579" spans="1:14" ht="12.75" customHeight="1" x14ac:dyDescent="0.25">
      <c r="A579" s="11" t="str">
        <f>_xlfn.XLOOKUP(Tabla15[[#This Row],[GPS]],Hoja3!A:A,Hoja3!B:B)</f>
        <v>TRACTOR</v>
      </c>
      <c r="B579" s="11" t="str">
        <f>_xlfn.XLOOKUP(GPS!D579,Hoja3!A:A,Hoja3!D:D)</f>
        <v>PETRÓLEO</v>
      </c>
      <c r="C579" s="12" t="str">
        <f>_xlfn.XLOOKUP(Tabla15[[#This Row],[GPS]],Hoja3!A:A,Hoja3!C:C)</f>
        <v>T4</v>
      </c>
      <c r="D579" s="12" t="s">
        <v>23</v>
      </c>
      <c r="E579" s="13">
        <v>46155</v>
      </c>
      <c r="F579" s="11">
        <v>3.5278</v>
      </c>
      <c r="G579" s="11">
        <v>26.43</v>
      </c>
      <c r="H579" s="11">
        <v>1</v>
      </c>
      <c r="I579" s="11">
        <v>9.4857999999999993</v>
      </c>
      <c r="J579" s="11">
        <v>38.7438</v>
      </c>
      <c r="K579" s="11">
        <v>0.44</v>
      </c>
      <c r="L579" s="15">
        <f t="shared" si="9"/>
        <v>4.4050000000000002</v>
      </c>
      <c r="M579" s="14">
        <f>IF(Tabla15[[#This Row],[COMBUSTIBLE]]="PETRÓLEO",L579*$Q$2,L579*$Q$4)</f>
        <v>5290.4050000000007</v>
      </c>
      <c r="N579" s="12" t="str">
        <f>IF(OR(WEEKDAY(Tabla15[[#This Row],[Fecha]],2)=6,WEEKDAY(Tabla15[[#This Row],[Fecha]],2)=7),"Fin de semana","Semana")</f>
        <v>Semana</v>
      </c>
    </row>
    <row r="580" spans="1:14" ht="12.75" customHeight="1" x14ac:dyDescent="0.25">
      <c r="A580" s="11" t="str">
        <f>_xlfn.XLOOKUP(Tabla15[[#This Row],[GPS]],Hoja3!A:A,Hoja3!B:B)</f>
        <v>CAMIONETA</v>
      </c>
      <c r="B580" s="11" t="str">
        <f>_xlfn.XLOOKUP(GPS!D580,Hoja3!A:A,Hoja3!D:D)</f>
        <v>PETRÓLEO</v>
      </c>
      <c r="C580" s="12" t="str">
        <f>_xlfn.XLOOKUP(Tabla15[[#This Row],[GPS]],Hoja3!A:A,Hoja3!C:C)</f>
        <v>CAMPO PAINE</v>
      </c>
      <c r="D580" s="12" t="s">
        <v>131</v>
      </c>
      <c r="E580" s="13">
        <v>46155</v>
      </c>
      <c r="F580" s="11">
        <v>2.8250000000000002</v>
      </c>
      <c r="G580" s="11">
        <v>31.68</v>
      </c>
      <c r="H580" s="11">
        <v>1</v>
      </c>
      <c r="I580" s="11">
        <v>17.057300000000001</v>
      </c>
      <c r="J580" s="11">
        <v>61.171599999999998</v>
      </c>
      <c r="K580" s="11">
        <v>0.35</v>
      </c>
      <c r="L580" s="15">
        <f t="shared" si="9"/>
        <v>3.52</v>
      </c>
      <c r="M580" s="14">
        <f>IF(Tabla15[[#This Row],[COMBUSTIBLE]]="PETRÓLEO",L580*$Q$2,L580*$Q$4)</f>
        <v>4227.5200000000004</v>
      </c>
      <c r="N580" s="12" t="str">
        <f>IF(OR(WEEKDAY(Tabla15[[#This Row],[Fecha]],2)=6,WEEKDAY(Tabla15[[#This Row],[Fecha]],2)=7),"Fin de semana","Semana")</f>
        <v>Semana</v>
      </c>
    </row>
    <row r="581" spans="1:14" ht="12.75" customHeight="1" x14ac:dyDescent="0.25">
      <c r="A581" s="11" t="str">
        <f>_xlfn.XLOOKUP(Tabla15[[#This Row],[GPS]],Hoja3!A:A,Hoja3!B:B)</f>
        <v>TRACTOR</v>
      </c>
      <c r="B581" s="11" t="str">
        <f>_xlfn.XLOOKUP(GPS!D581,Hoja3!A:A,Hoja3!D:D)</f>
        <v>PETRÓLEO</v>
      </c>
      <c r="C581" s="12" t="str">
        <f>_xlfn.XLOOKUP(Tabla15[[#This Row],[GPS]],Hoja3!A:A,Hoja3!C:C)</f>
        <v>T9</v>
      </c>
      <c r="D581" s="12" t="s">
        <v>28</v>
      </c>
      <c r="E581" s="13">
        <v>46155</v>
      </c>
      <c r="F581" s="11">
        <v>2.6389</v>
      </c>
      <c r="G581" s="11">
        <v>0.72</v>
      </c>
      <c r="H581" s="11">
        <v>0</v>
      </c>
      <c r="I581" s="11">
        <v>4.3750999999999998</v>
      </c>
      <c r="J581" s="11">
        <v>17.2606</v>
      </c>
      <c r="K581" s="11">
        <v>0.33</v>
      </c>
      <c r="L581" s="15">
        <f t="shared" si="9"/>
        <v>0.12</v>
      </c>
      <c r="M581" s="14">
        <f>IF(Tabla15[[#This Row],[COMBUSTIBLE]]="PETRÓLEO",L581*$Q$2,L581*$Q$4)</f>
        <v>144.12</v>
      </c>
      <c r="N581" s="12" t="str">
        <f>IF(OR(WEEKDAY(Tabla15[[#This Row],[Fecha]],2)=6,WEEKDAY(Tabla15[[#This Row],[Fecha]],2)=7),"Fin de semana","Semana")</f>
        <v>Semana</v>
      </c>
    </row>
    <row r="582" spans="1:14" ht="12.75" customHeight="1" x14ac:dyDescent="0.25">
      <c r="A582" s="11" t="str">
        <f>_xlfn.XLOOKUP(Tabla15[[#This Row],[GPS]],Hoja3!A:A,Hoja3!B:B)</f>
        <v>CAMIONETA</v>
      </c>
      <c r="B582" s="11" t="str">
        <f>_xlfn.XLOOKUP(GPS!D582,Hoja3!A:A,Hoja3!D:D)</f>
        <v>PETRÓLEO</v>
      </c>
      <c r="C582" s="12" t="str">
        <f>_xlfn.XLOOKUP(Tabla15[[#This Row],[GPS]],Hoja3!A:A,Hoja3!C:C)</f>
        <v>CAMPO RULO</v>
      </c>
      <c r="D582" s="12" t="s">
        <v>135</v>
      </c>
      <c r="E582" s="13">
        <v>46155</v>
      </c>
      <c r="F582" s="11">
        <v>2.5486</v>
      </c>
      <c r="G582" s="11">
        <v>36.24</v>
      </c>
      <c r="H582" s="11">
        <v>1</v>
      </c>
      <c r="I582" s="11">
        <v>20.3002</v>
      </c>
      <c r="J582" s="11">
        <v>87.000100000000003</v>
      </c>
      <c r="K582" s="11">
        <v>0.32</v>
      </c>
      <c r="L582" s="15">
        <f t="shared" si="9"/>
        <v>4.0266666666666673</v>
      </c>
      <c r="M582" s="14">
        <f>IF(Tabla15[[#This Row],[COMBUSTIBLE]]="PETRÓLEO",L582*$Q$2,L582*$Q$4)</f>
        <v>4836.0266666666676</v>
      </c>
      <c r="N582" s="12" t="str">
        <f>IF(OR(WEEKDAY(Tabla15[[#This Row],[Fecha]],2)=6,WEEKDAY(Tabla15[[#This Row],[Fecha]],2)=7),"Fin de semana","Semana")</f>
        <v>Semana</v>
      </c>
    </row>
    <row r="583" spans="1:14" ht="12.75" customHeight="1" x14ac:dyDescent="0.25">
      <c r="A583" s="11" t="str">
        <f>_xlfn.XLOOKUP(Tabla15[[#This Row],[GPS]],Hoja3!A:A,Hoja3!B:B)</f>
        <v>TRACTOR</v>
      </c>
      <c r="B583" s="11" t="str">
        <f>_xlfn.XLOOKUP(GPS!D583,Hoja3!A:A,Hoja3!D:D)</f>
        <v>PETRÓLEO</v>
      </c>
      <c r="C583" s="12" t="str">
        <f>_xlfn.XLOOKUP(Tabla15[[#This Row],[GPS]],Hoja3!A:A,Hoja3!C:C)</f>
        <v>T8</v>
      </c>
      <c r="D583" s="12" t="s">
        <v>27</v>
      </c>
      <c r="E583" s="13">
        <v>46155</v>
      </c>
      <c r="F583" s="11">
        <v>2.4742000000000002</v>
      </c>
      <c r="G583" s="11">
        <v>9.6199999999999992</v>
      </c>
      <c r="H583" s="11">
        <v>1</v>
      </c>
      <c r="I583" s="11">
        <v>7.1116000000000001</v>
      </c>
      <c r="J583" s="11">
        <v>29.539400000000001</v>
      </c>
      <c r="K583" s="11">
        <v>0.31</v>
      </c>
      <c r="L583" s="15">
        <f t="shared" si="9"/>
        <v>1.6033333333333333</v>
      </c>
      <c r="M583" s="14">
        <f>IF(Tabla15[[#This Row],[COMBUSTIBLE]]="PETRÓLEO",L583*$Q$2,L583*$Q$4)</f>
        <v>1925.6033333333332</v>
      </c>
      <c r="N583" s="12" t="str">
        <f>IF(OR(WEEKDAY(Tabla15[[#This Row],[Fecha]],2)=6,WEEKDAY(Tabla15[[#This Row],[Fecha]],2)=7),"Fin de semana","Semana")</f>
        <v>Semana</v>
      </c>
    </row>
    <row r="584" spans="1:14" ht="12.75" customHeight="1" x14ac:dyDescent="0.25">
      <c r="A584" s="11" t="str">
        <f>_xlfn.XLOOKUP(Tabla15[[#This Row],[GPS]],Hoja3!A:A,Hoja3!B:B)</f>
        <v>CAMIONETA</v>
      </c>
      <c r="B584" s="11" t="str">
        <f>_xlfn.XLOOKUP(GPS!D584,Hoja3!A:A,Hoja3!D:D)</f>
        <v>PETRÓLEO</v>
      </c>
      <c r="C584" s="12" t="str">
        <f>_xlfn.XLOOKUP(Tabla15[[#This Row],[GPS]],Hoja3!A:A,Hoja3!C:C)</f>
        <v>GONZALO GUERRERO</v>
      </c>
      <c r="D584" s="12" t="s">
        <v>126</v>
      </c>
      <c r="E584" s="13">
        <v>46155</v>
      </c>
      <c r="F584" s="11">
        <v>2.29</v>
      </c>
      <c r="G584" s="11">
        <v>59.4</v>
      </c>
      <c r="H584" s="11">
        <v>1</v>
      </c>
      <c r="I584" s="11">
        <v>33.075099999999999</v>
      </c>
      <c r="J584" s="11">
        <v>152.8826</v>
      </c>
      <c r="K584" s="11">
        <v>0.28999999999999998</v>
      </c>
      <c r="L584" s="15">
        <f t="shared" si="9"/>
        <v>6.6</v>
      </c>
      <c r="M584" s="14">
        <f>IF(Tabla15[[#This Row],[COMBUSTIBLE]]="PETRÓLEO",L584*$Q$2,L584*$Q$4)</f>
        <v>7926.5999999999995</v>
      </c>
      <c r="N584" s="12" t="str">
        <f>IF(OR(WEEKDAY(Tabla15[[#This Row],[Fecha]],2)=6,WEEKDAY(Tabla15[[#This Row],[Fecha]],2)=7),"Fin de semana","Semana")</f>
        <v>Semana</v>
      </c>
    </row>
    <row r="585" spans="1:14" ht="12.75" customHeight="1" x14ac:dyDescent="0.25">
      <c r="A585" s="11" t="str">
        <f>_xlfn.XLOOKUP(Tabla15[[#This Row],[GPS]],Hoja3!A:A,Hoja3!B:B)</f>
        <v>TRACTOR</v>
      </c>
      <c r="B585" s="11" t="str">
        <f>_xlfn.XLOOKUP(GPS!D585,Hoja3!A:A,Hoja3!D:D)</f>
        <v>PETRÓLEO</v>
      </c>
      <c r="C585" s="12" t="str">
        <f>_xlfn.XLOOKUP(Tabla15[[#This Row],[GPS]],Hoja3!A:A,Hoja3!C:C)</f>
        <v>T13</v>
      </c>
      <c r="D585" s="12" t="s">
        <v>19</v>
      </c>
      <c r="E585" s="13">
        <v>46155</v>
      </c>
      <c r="F585" s="11">
        <v>0.61470000000000002</v>
      </c>
      <c r="G585" s="11">
        <v>2.81</v>
      </c>
      <c r="H585" s="11">
        <v>1</v>
      </c>
      <c r="I585" s="11">
        <v>6.0412999999999997</v>
      </c>
      <c r="J585" s="11">
        <v>16.3902</v>
      </c>
      <c r="K585" s="11">
        <v>0.08</v>
      </c>
      <c r="L585" s="15">
        <f t="shared" si="9"/>
        <v>0.46833333333333332</v>
      </c>
      <c r="M585" s="14">
        <f>IF(Tabla15[[#This Row],[COMBUSTIBLE]]="PETRÓLEO",L585*$Q$2,L585*$Q$4)</f>
        <v>562.46833333333336</v>
      </c>
      <c r="N585" s="12" t="str">
        <f>IF(OR(WEEKDAY(Tabla15[[#This Row],[Fecha]],2)=6,WEEKDAY(Tabla15[[#This Row],[Fecha]],2)=7),"Fin de semana","Semana")</f>
        <v>Semana</v>
      </c>
    </row>
    <row r="586" spans="1:14" ht="12.75" customHeight="1" x14ac:dyDescent="0.25">
      <c r="A586" s="11" t="str">
        <f>_xlfn.XLOOKUP(Tabla15[[#This Row],[GPS]],Hoja3!A:A,Hoja3!B:B)</f>
        <v>TRACTOR</v>
      </c>
      <c r="B586" s="11" t="str">
        <f>_xlfn.XLOOKUP(GPS!D586,Hoja3!A:A,Hoja3!D:D)</f>
        <v>PETRÓLEO</v>
      </c>
      <c r="C586" s="12" t="str">
        <f>_xlfn.XLOOKUP(Tabla15[[#This Row],[GPS]],Hoja3!A:A,Hoja3!C:C)</f>
        <v>T11</v>
      </c>
      <c r="D586" s="12" t="s">
        <v>15</v>
      </c>
      <c r="E586" s="13">
        <v>46155</v>
      </c>
      <c r="F586" s="11">
        <v>4.6100000000000002E-2</v>
      </c>
      <c r="G586" s="11">
        <v>3.24</v>
      </c>
      <c r="H586" s="11">
        <v>1</v>
      </c>
      <c r="I586" s="11">
        <v>7.3638000000000003</v>
      </c>
      <c r="J586" s="11">
        <v>21.631399999999999</v>
      </c>
      <c r="K586" s="11">
        <v>0.01</v>
      </c>
      <c r="L586" s="15">
        <f t="shared" si="9"/>
        <v>0.54</v>
      </c>
      <c r="M586" s="14">
        <f>IF(Tabla15[[#This Row],[COMBUSTIBLE]]="PETRÓLEO",L586*$Q$2,L586*$Q$4)</f>
        <v>648.54000000000008</v>
      </c>
      <c r="N586" s="12" t="str">
        <f>IF(OR(WEEKDAY(Tabla15[[#This Row],[Fecha]],2)=6,WEEKDAY(Tabla15[[#This Row],[Fecha]],2)=7),"Fin de semana","Semana")</f>
        <v>Semana</v>
      </c>
    </row>
    <row r="587" spans="1:14" ht="12.75" customHeight="1" x14ac:dyDescent="0.25">
      <c r="A587" s="11" t="str">
        <f>_xlfn.XLOOKUP(Tabla15[[#This Row],[GPS]],Hoja3!A:A,Hoja3!B:B)</f>
        <v>CAMIONETA</v>
      </c>
      <c r="B587" s="11" t="str">
        <f>_xlfn.XLOOKUP(GPS!D587,Hoja3!A:A,Hoja3!D:D)</f>
        <v>PETRÓLEO</v>
      </c>
      <c r="C587" s="12" t="str">
        <f>_xlfn.XLOOKUP(Tabla15[[#This Row],[GPS]],Hoja3!A:A,Hoja3!C:C)</f>
        <v>RODRIGO SALINAS</v>
      </c>
      <c r="D587" s="12" t="s">
        <v>109</v>
      </c>
      <c r="E587" s="13">
        <v>46155</v>
      </c>
      <c r="F587" s="11">
        <v>1.11E-2</v>
      </c>
      <c r="G587" s="11">
        <v>0.02</v>
      </c>
      <c r="H587" s="11">
        <v>0</v>
      </c>
      <c r="I587" s="11">
        <v>5.3708</v>
      </c>
      <c r="J587" s="11">
        <v>11.630599999999999</v>
      </c>
      <c r="K587" s="11">
        <v>0</v>
      </c>
      <c r="L587" s="15">
        <f t="shared" si="9"/>
        <v>2.2222222222222222E-3</v>
      </c>
      <c r="M587" s="14">
        <f>IF(Tabla15[[#This Row],[COMBUSTIBLE]]="PETRÓLEO",L587*$Q$2,L587*$Q$4)</f>
        <v>2.6688888888888891</v>
      </c>
      <c r="N587" s="12" t="str">
        <f>IF(OR(WEEKDAY(Tabla15[[#This Row],[Fecha]],2)=6,WEEKDAY(Tabla15[[#This Row],[Fecha]],2)=7),"Fin de semana","Semana")</f>
        <v>Semana</v>
      </c>
    </row>
    <row r="588" spans="1:14" ht="12.75" customHeight="1" x14ac:dyDescent="0.25">
      <c r="A588" s="11" t="str">
        <f>_xlfn.XLOOKUP(Tabla15[[#This Row],[GPS]],Hoja3!A:A,Hoja3!B:B)</f>
        <v>CAMIONETA</v>
      </c>
      <c r="B588" s="11" t="str">
        <f>_xlfn.XLOOKUP(GPS!D588,Hoja3!A:A,Hoja3!D:D)</f>
        <v>BENCINA</v>
      </c>
      <c r="C588" s="12" t="str">
        <f>_xlfn.XLOOKUP(Tabla15[[#This Row],[GPS]],Hoja3!A:A,Hoja3!C:C)</f>
        <v>VG PIÑALEO</v>
      </c>
      <c r="D588" s="12" t="s">
        <v>114</v>
      </c>
      <c r="E588" s="13">
        <v>46155</v>
      </c>
      <c r="F588" s="11">
        <v>0</v>
      </c>
      <c r="G588" s="11">
        <v>69.819999999999993</v>
      </c>
      <c r="H588" s="11">
        <v>1</v>
      </c>
      <c r="I588" s="11">
        <v>36.999099999999999</v>
      </c>
      <c r="J588" s="11">
        <v>116</v>
      </c>
      <c r="K588" s="11">
        <v>0</v>
      </c>
      <c r="L588" s="15">
        <f t="shared" si="9"/>
        <v>6.3472727272727267</v>
      </c>
      <c r="M588" s="14">
        <f>IF(Tabla15[[#This Row],[COMBUSTIBLE]]="PETRÓLEO",L588*$Q$2,L588*$Q$4)</f>
        <v>9838.2727272727261</v>
      </c>
      <c r="N588" s="12" t="str">
        <f>IF(OR(WEEKDAY(Tabla15[[#This Row],[Fecha]],2)=6,WEEKDAY(Tabla15[[#This Row],[Fecha]],2)=7),"Fin de semana","Semana")</f>
        <v>Semana</v>
      </c>
    </row>
    <row r="589" spans="1:14" ht="12.75" customHeight="1" x14ac:dyDescent="0.25">
      <c r="A589" s="11" t="str">
        <f>_xlfn.XLOOKUP(Tabla15[[#This Row],[GPS]],Hoja3!A:A,Hoja3!B:B)</f>
        <v>CAMIONETA</v>
      </c>
      <c r="B589" s="11" t="str">
        <f>_xlfn.XLOOKUP(GPS!D589,Hoja3!A:A,Hoja3!D:D)</f>
        <v>PETRÓLEO</v>
      </c>
      <c r="C589" s="12" t="str">
        <f>_xlfn.XLOOKUP(Tabla15[[#This Row],[GPS]],Hoja3!A:A,Hoja3!C:C)</f>
        <v>SERGIO ROJAS</v>
      </c>
      <c r="D589" s="12" t="s">
        <v>128</v>
      </c>
      <c r="E589" s="13">
        <v>46155</v>
      </c>
      <c r="F589" s="11">
        <v>0</v>
      </c>
      <c r="G589" s="11">
        <v>65.150000000000006</v>
      </c>
      <c r="H589" s="11">
        <v>1</v>
      </c>
      <c r="I589" s="11">
        <v>26.918800000000001</v>
      </c>
      <c r="J589" s="11">
        <v>87.636600000000001</v>
      </c>
      <c r="K589" s="11">
        <v>0</v>
      </c>
      <c r="L589" s="15">
        <f t="shared" si="9"/>
        <v>7.2388888888888898</v>
      </c>
      <c r="M589" s="14">
        <f>IF(Tabla15[[#This Row],[COMBUSTIBLE]]="PETRÓLEO",L589*$Q$2,L589*$Q$4)</f>
        <v>8693.9055555555569</v>
      </c>
      <c r="N589" s="12" t="str">
        <f>IF(OR(WEEKDAY(Tabla15[[#This Row],[Fecha]],2)=6,WEEKDAY(Tabla15[[#This Row],[Fecha]],2)=7),"Fin de semana","Semana")</f>
        <v>Semana</v>
      </c>
    </row>
    <row r="590" spans="1:14" ht="12.75" customHeight="1" x14ac:dyDescent="0.25">
      <c r="A590" s="11" t="str">
        <f>_xlfn.XLOOKUP(Tabla15[[#This Row],[GPS]],Hoja3!A:A,Hoja3!B:B)</f>
        <v>CAMIONETA</v>
      </c>
      <c r="B590" s="11" t="str">
        <f>_xlfn.XLOOKUP(GPS!D590,Hoja3!A:A,Hoja3!D:D)</f>
        <v>BENCINA</v>
      </c>
      <c r="C590" s="12" t="str">
        <f>_xlfn.XLOOKUP(Tabla15[[#This Row],[GPS]],Hoja3!A:A,Hoja3!C:C)</f>
        <v>VG GERARDO</v>
      </c>
      <c r="D590" s="12" t="s">
        <v>118</v>
      </c>
      <c r="E590" s="13">
        <v>46155</v>
      </c>
      <c r="F590" s="11">
        <v>0</v>
      </c>
      <c r="G590" s="11">
        <v>34.32</v>
      </c>
      <c r="H590" s="11">
        <v>1</v>
      </c>
      <c r="I590" s="11">
        <v>20.116399999999999</v>
      </c>
      <c r="J590" s="11">
        <v>73.000100000000003</v>
      </c>
      <c r="K590" s="11">
        <v>0</v>
      </c>
      <c r="L590" s="15">
        <f t="shared" si="9"/>
        <v>3.12</v>
      </c>
      <c r="M590" s="14">
        <f>IF(Tabla15[[#This Row],[COMBUSTIBLE]]="PETRÓLEO",L590*$Q$2,L590*$Q$4)</f>
        <v>4836</v>
      </c>
      <c r="N590" s="12" t="str">
        <f>IF(OR(WEEKDAY(Tabla15[[#This Row],[Fecha]],2)=6,WEEKDAY(Tabla15[[#This Row],[Fecha]],2)=7),"Fin de semana","Semana")</f>
        <v>Semana</v>
      </c>
    </row>
    <row r="591" spans="1:14" ht="12.75" customHeight="1" x14ac:dyDescent="0.25">
      <c r="A591" s="11" t="str">
        <f>_xlfn.XLOOKUP(Tabla15[[#This Row],[GPS]],Hoja3!A:A,Hoja3!B:B)</f>
        <v>CAMIONETA</v>
      </c>
      <c r="B591" s="11" t="str">
        <f>_xlfn.XLOOKUP(GPS!D591,Hoja3!A:A,Hoja3!D:D)</f>
        <v>BENCINA</v>
      </c>
      <c r="C591" s="12" t="str">
        <f>_xlfn.XLOOKUP(Tabla15[[#This Row],[GPS]],Hoja3!A:A,Hoja3!C:C)</f>
        <v>VG CERRILLOS</v>
      </c>
      <c r="D591" s="12" t="s">
        <v>137</v>
      </c>
      <c r="E591" s="13">
        <v>46155</v>
      </c>
      <c r="F591" s="11">
        <v>0</v>
      </c>
      <c r="G591" s="11">
        <v>17.260000000000002</v>
      </c>
      <c r="H591" s="11">
        <v>1</v>
      </c>
      <c r="I591" s="11">
        <v>10.4247</v>
      </c>
      <c r="J591" s="11">
        <v>30</v>
      </c>
      <c r="K591" s="11">
        <v>0</v>
      </c>
      <c r="L591" s="15">
        <f t="shared" si="9"/>
        <v>1.5690909090909093</v>
      </c>
      <c r="M591" s="14">
        <f>IF(Tabla15[[#This Row],[COMBUSTIBLE]]="PETRÓLEO",L591*$Q$2,L591*$Q$4)</f>
        <v>2432.0909090909095</v>
      </c>
      <c r="N591" s="12" t="str">
        <f>IF(OR(WEEKDAY(Tabla15[[#This Row],[Fecha]],2)=6,WEEKDAY(Tabla15[[#This Row],[Fecha]],2)=7),"Fin de semana","Semana")</f>
        <v>Semana</v>
      </c>
    </row>
    <row r="592" spans="1:14" ht="12.75" customHeight="1" x14ac:dyDescent="0.25">
      <c r="A592" s="11" t="str">
        <f>_xlfn.XLOOKUP(Tabla15[[#This Row],[GPS]],Hoja3!A:A,Hoja3!B:B)</f>
        <v>TRACTOR</v>
      </c>
      <c r="B592" s="11" t="str">
        <f>_xlfn.XLOOKUP(GPS!D592,Hoja3!A:A,Hoja3!D:D)</f>
        <v>PETRÓLEO</v>
      </c>
      <c r="C592" s="12" t="str">
        <f>_xlfn.XLOOKUP(Tabla15[[#This Row],[GPS]],Hoja3!A:A,Hoja3!C:C)</f>
        <v>T9</v>
      </c>
      <c r="D592" s="12" t="s">
        <v>28</v>
      </c>
      <c r="E592" s="13">
        <v>46154</v>
      </c>
      <c r="F592" s="11">
        <v>9.2522000000000002</v>
      </c>
      <c r="G592" s="11">
        <v>11.02</v>
      </c>
      <c r="H592" s="11">
        <v>1</v>
      </c>
      <c r="I592" s="11">
        <v>4.3514999999999997</v>
      </c>
      <c r="J592" s="11">
        <v>63.245800000000003</v>
      </c>
      <c r="K592" s="11">
        <v>1.1599999999999999</v>
      </c>
      <c r="L592" s="15">
        <f t="shared" si="9"/>
        <v>1.8366666666666667</v>
      </c>
      <c r="M592" s="14">
        <f>IF(Tabla15[[#This Row],[COMBUSTIBLE]]="PETRÓLEO",L592*$Q$2,L592*$Q$4)</f>
        <v>2205.8366666666666</v>
      </c>
      <c r="N592" s="12" t="str">
        <f>IF(OR(WEEKDAY(Tabla15[[#This Row],[Fecha]],2)=6,WEEKDAY(Tabla15[[#This Row],[Fecha]],2)=7),"Fin de semana","Semana")</f>
        <v>Semana</v>
      </c>
    </row>
    <row r="593" spans="1:14" ht="12.75" customHeight="1" x14ac:dyDescent="0.25">
      <c r="A593" s="11" t="str">
        <f>_xlfn.XLOOKUP(Tabla15[[#This Row],[GPS]],Hoja3!A:A,Hoja3!B:B)</f>
        <v>TRACTOR</v>
      </c>
      <c r="B593" s="11" t="str">
        <f>_xlfn.XLOOKUP(GPS!D593,Hoja3!A:A,Hoja3!D:D)</f>
        <v>PETRÓLEO</v>
      </c>
      <c r="C593" s="12" t="str">
        <f>_xlfn.XLOOKUP(Tabla15[[#This Row],[GPS]],Hoja3!A:A,Hoja3!C:C)</f>
        <v>T13</v>
      </c>
      <c r="D593" s="12" t="s">
        <v>19</v>
      </c>
      <c r="E593" s="13">
        <v>46154</v>
      </c>
      <c r="F593" s="11">
        <v>4.8041999999999998</v>
      </c>
      <c r="G593" s="11">
        <v>13.57</v>
      </c>
      <c r="H593" s="11">
        <v>1</v>
      </c>
      <c r="I593" s="11">
        <v>4.9968000000000004</v>
      </c>
      <c r="J593" s="11">
        <v>20.538699999999999</v>
      </c>
      <c r="K593" s="11">
        <v>0.6</v>
      </c>
      <c r="L593" s="15">
        <f t="shared" si="9"/>
        <v>2.2616666666666667</v>
      </c>
      <c r="M593" s="14">
        <f>IF(Tabla15[[#This Row],[COMBUSTIBLE]]="PETRÓLEO",L593*$Q$2,L593*$Q$4)</f>
        <v>2716.2616666666668</v>
      </c>
      <c r="N593" s="12" t="str">
        <f>IF(OR(WEEKDAY(Tabla15[[#This Row],[Fecha]],2)=6,WEEKDAY(Tabla15[[#This Row],[Fecha]],2)=7),"Fin de semana","Semana")</f>
        <v>Semana</v>
      </c>
    </row>
    <row r="594" spans="1:14" ht="12.75" customHeight="1" x14ac:dyDescent="0.25">
      <c r="A594" s="11" t="str">
        <f>_xlfn.XLOOKUP(Tabla15[[#This Row],[GPS]],Hoja3!A:A,Hoja3!B:B)</f>
        <v>CAMIONETA</v>
      </c>
      <c r="B594" s="11" t="str">
        <f>_xlfn.XLOOKUP(GPS!D594,Hoja3!A:A,Hoja3!D:D)</f>
        <v>PETRÓLEO</v>
      </c>
      <c r="C594" s="12" t="str">
        <f>_xlfn.XLOOKUP(Tabla15[[#This Row],[GPS]],Hoja3!A:A,Hoja3!C:C)</f>
        <v>CAMPO PAINE</v>
      </c>
      <c r="D594" s="12" t="s">
        <v>131</v>
      </c>
      <c r="E594" s="13">
        <v>46154</v>
      </c>
      <c r="F594" s="11">
        <v>4.2949999999999999</v>
      </c>
      <c r="G594" s="11">
        <v>35.22</v>
      </c>
      <c r="H594" s="11">
        <v>1</v>
      </c>
      <c r="I594" s="11">
        <v>17.2563</v>
      </c>
      <c r="J594" s="11">
        <v>135.17750000000001</v>
      </c>
      <c r="K594" s="11">
        <v>0.54</v>
      </c>
      <c r="L594" s="15">
        <f t="shared" si="9"/>
        <v>3.9133333333333331</v>
      </c>
      <c r="M594" s="14">
        <f>IF(Tabla15[[#This Row],[COMBUSTIBLE]]="PETRÓLEO",L594*$Q$2,L594*$Q$4)</f>
        <v>4699.913333333333</v>
      </c>
      <c r="N594" s="12" t="str">
        <f>IF(OR(WEEKDAY(Tabla15[[#This Row],[Fecha]],2)=6,WEEKDAY(Tabla15[[#This Row],[Fecha]],2)=7),"Fin de semana","Semana")</f>
        <v>Semana</v>
      </c>
    </row>
    <row r="595" spans="1:14" ht="12.75" customHeight="1" x14ac:dyDescent="0.25">
      <c r="A595" s="11" t="str">
        <f>_xlfn.XLOOKUP(Tabla15[[#This Row],[GPS]],Hoja3!A:A,Hoja3!B:B)</f>
        <v>CAMIONETA</v>
      </c>
      <c r="B595" s="11" t="str">
        <f>_xlfn.XLOOKUP(GPS!D595,Hoja3!A:A,Hoja3!D:D)</f>
        <v>PETRÓLEO</v>
      </c>
      <c r="C595" s="12" t="str">
        <f>_xlfn.XLOOKUP(Tabla15[[#This Row],[GPS]],Hoja3!A:A,Hoja3!C:C)</f>
        <v>CAMPO CERRILLOS</v>
      </c>
      <c r="D595" s="12" t="s">
        <v>121</v>
      </c>
      <c r="E595" s="13">
        <v>46154</v>
      </c>
      <c r="F595" s="11">
        <v>3.5078</v>
      </c>
      <c r="G595" s="11">
        <v>53.58</v>
      </c>
      <c r="H595" s="11">
        <v>1</v>
      </c>
      <c r="I595" s="11">
        <v>17.065200000000001</v>
      </c>
      <c r="J595" s="11">
        <v>83</v>
      </c>
      <c r="K595" s="11">
        <v>0.44</v>
      </c>
      <c r="L595" s="15">
        <f t="shared" si="9"/>
        <v>5.9533333333333331</v>
      </c>
      <c r="M595" s="14">
        <f>IF(Tabla15[[#This Row],[COMBUSTIBLE]]="PETRÓLEO",L595*$Q$2,L595*$Q$4)</f>
        <v>7149.9533333333329</v>
      </c>
      <c r="N595" s="12" t="str">
        <f>IF(OR(WEEKDAY(Tabla15[[#This Row],[Fecha]],2)=6,WEEKDAY(Tabla15[[#This Row],[Fecha]],2)=7),"Fin de semana","Semana")</f>
        <v>Semana</v>
      </c>
    </row>
    <row r="596" spans="1:14" ht="12.75" customHeight="1" x14ac:dyDescent="0.25">
      <c r="A596" s="11" t="str">
        <f>_xlfn.XLOOKUP(Tabla15[[#This Row],[GPS]],Hoja3!A:A,Hoja3!B:B)</f>
        <v>TRACTOR</v>
      </c>
      <c r="B596" s="11" t="str">
        <f>_xlfn.XLOOKUP(GPS!D596,Hoja3!A:A,Hoja3!D:D)</f>
        <v>PETRÓLEO</v>
      </c>
      <c r="C596" s="12" t="str">
        <f>_xlfn.XLOOKUP(Tabla15[[#This Row],[GPS]],Hoja3!A:A,Hoja3!C:C)</f>
        <v>T4</v>
      </c>
      <c r="D596" s="12" t="s">
        <v>23</v>
      </c>
      <c r="E596" s="13">
        <v>46154</v>
      </c>
      <c r="F596" s="11">
        <v>2.5657999999999999</v>
      </c>
      <c r="G596" s="11">
        <v>9.39</v>
      </c>
      <c r="H596" s="11">
        <v>1</v>
      </c>
      <c r="I596" s="11">
        <v>5.0502000000000002</v>
      </c>
      <c r="J596" s="11">
        <v>65.875600000000006</v>
      </c>
      <c r="K596" s="11">
        <v>0.32</v>
      </c>
      <c r="L596" s="15">
        <f t="shared" si="9"/>
        <v>1.5650000000000002</v>
      </c>
      <c r="M596" s="14">
        <f>IF(Tabla15[[#This Row],[COMBUSTIBLE]]="PETRÓLEO",L596*$Q$2,L596*$Q$4)</f>
        <v>1879.5650000000003</v>
      </c>
      <c r="N596" s="12" t="str">
        <f>IF(OR(WEEKDAY(Tabla15[[#This Row],[Fecha]],2)=6,WEEKDAY(Tabla15[[#This Row],[Fecha]],2)=7),"Fin de semana","Semana")</f>
        <v>Semana</v>
      </c>
    </row>
    <row r="597" spans="1:14" ht="12.75" customHeight="1" x14ac:dyDescent="0.25">
      <c r="A597" s="11" t="str">
        <f>_xlfn.XLOOKUP(Tabla15[[#This Row],[GPS]],Hoja3!A:A,Hoja3!B:B)</f>
        <v>CAMIONETA</v>
      </c>
      <c r="B597" s="11" t="str">
        <f>_xlfn.XLOOKUP(GPS!D597,Hoja3!A:A,Hoja3!D:D)</f>
        <v>PETRÓLEO</v>
      </c>
      <c r="C597" s="12" t="str">
        <f>_xlfn.XLOOKUP(Tabla15[[#This Row],[GPS]],Hoja3!A:A,Hoja3!C:C)</f>
        <v>CAMPO RULO</v>
      </c>
      <c r="D597" s="12" t="s">
        <v>135</v>
      </c>
      <c r="E597" s="13">
        <v>46154</v>
      </c>
      <c r="F597" s="11">
        <v>2.5097</v>
      </c>
      <c r="G597" s="11">
        <v>32.28</v>
      </c>
      <c r="H597" s="11">
        <v>1</v>
      </c>
      <c r="I597" s="11">
        <v>16.987300000000001</v>
      </c>
      <c r="J597" s="11">
        <v>84.999899999999997</v>
      </c>
      <c r="K597" s="11">
        <v>0.31</v>
      </c>
      <c r="L597" s="15">
        <f t="shared" si="9"/>
        <v>3.5866666666666669</v>
      </c>
      <c r="M597" s="14">
        <f>IF(Tabla15[[#This Row],[COMBUSTIBLE]]="PETRÓLEO",L597*$Q$2,L597*$Q$4)</f>
        <v>4307.586666666667</v>
      </c>
      <c r="N597" s="12" t="str">
        <f>IF(OR(WEEKDAY(Tabla15[[#This Row],[Fecha]],2)=6,WEEKDAY(Tabla15[[#This Row],[Fecha]],2)=7),"Fin de semana","Semana")</f>
        <v>Semana</v>
      </c>
    </row>
    <row r="598" spans="1:14" ht="12.75" customHeight="1" x14ac:dyDescent="0.25">
      <c r="A598" s="11" t="str">
        <f>_xlfn.XLOOKUP(Tabla15[[#This Row],[GPS]],Hoja3!A:A,Hoja3!B:B)</f>
        <v>TRACTOR</v>
      </c>
      <c r="B598" s="11" t="str">
        <f>_xlfn.XLOOKUP(GPS!D598,Hoja3!A:A,Hoja3!D:D)</f>
        <v>PETRÓLEO</v>
      </c>
      <c r="C598" s="12" t="str">
        <f>_xlfn.XLOOKUP(Tabla15[[#This Row],[GPS]],Hoja3!A:A,Hoja3!C:C)</f>
        <v>T6</v>
      </c>
      <c r="D598" s="12" t="s">
        <v>25</v>
      </c>
      <c r="E598" s="13">
        <v>46154</v>
      </c>
      <c r="F598" s="11">
        <v>1.8542000000000001</v>
      </c>
      <c r="G598" s="11">
        <v>3.57</v>
      </c>
      <c r="H598" s="11">
        <v>1</v>
      </c>
      <c r="I598" s="11">
        <v>5.1386000000000003</v>
      </c>
      <c r="J598" s="11">
        <v>18.483000000000001</v>
      </c>
      <c r="K598" s="11">
        <v>0.23</v>
      </c>
      <c r="L598" s="15">
        <f t="shared" si="9"/>
        <v>0.59499999999999997</v>
      </c>
      <c r="M598" s="14">
        <f>IF(Tabla15[[#This Row],[COMBUSTIBLE]]="PETRÓLEO",L598*$Q$2,L598*$Q$4)</f>
        <v>714.59499999999991</v>
      </c>
      <c r="N598" s="12" t="str">
        <f>IF(OR(WEEKDAY(Tabla15[[#This Row],[Fecha]],2)=6,WEEKDAY(Tabla15[[#This Row],[Fecha]],2)=7),"Fin de semana","Semana")</f>
        <v>Semana</v>
      </c>
    </row>
    <row r="599" spans="1:14" ht="12.75" customHeight="1" x14ac:dyDescent="0.25">
      <c r="A599" s="11" t="str">
        <f>_xlfn.XLOOKUP(Tabla15[[#This Row],[GPS]],Hoja3!A:A,Hoja3!B:B)</f>
        <v>TRACTOR</v>
      </c>
      <c r="B599" s="11" t="str">
        <f>_xlfn.XLOOKUP(GPS!D599,Hoja3!A:A,Hoja3!D:D)</f>
        <v>PETRÓLEO</v>
      </c>
      <c r="C599" s="12" t="str">
        <f>_xlfn.XLOOKUP(Tabla15[[#This Row],[GPS]],Hoja3!A:A,Hoja3!C:C)</f>
        <v>T7</v>
      </c>
      <c r="D599" s="12" t="s">
        <v>26</v>
      </c>
      <c r="E599" s="13">
        <v>46154</v>
      </c>
      <c r="F599" s="11">
        <v>1.7903</v>
      </c>
      <c r="G599" s="11">
        <v>3.58</v>
      </c>
      <c r="H599" s="11">
        <v>1</v>
      </c>
      <c r="I599" s="11">
        <v>4.2706999999999997</v>
      </c>
      <c r="J599" s="11">
        <v>37.373399999999997</v>
      </c>
      <c r="K599" s="11">
        <v>0.22</v>
      </c>
      <c r="L599" s="15">
        <f t="shared" si="9"/>
        <v>0.59666666666666668</v>
      </c>
      <c r="M599" s="14">
        <f>IF(Tabla15[[#This Row],[COMBUSTIBLE]]="PETRÓLEO",L599*$Q$2,L599*$Q$4)</f>
        <v>716.59666666666669</v>
      </c>
      <c r="N599" s="12" t="str">
        <f>IF(OR(WEEKDAY(Tabla15[[#This Row],[Fecha]],2)=6,WEEKDAY(Tabla15[[#This Row],[Fecha]],2)=7),"Fin de semana","Semana")</f>
        <v>Semana</v>
      </c>
    </row>
    <row r="600" spans="1:14" ht="12.75" customHeight="1" x14ac:dyDescent="0.25">
      <c r="A600" s="11" t="str">
        <f>_xlfn.XLOOKUP(Tabla15[[#This Row],[GPS]],Hoja3!A:A,Hoja3!B:B)</f>
        <v>CAMIONETA</v>
      </c>
      <c r="B600" s="11" t="str">
        <f>_xlfn.XLOOKUP(GPS!D600,Hoja3!A:A,Hoja3!D:D)</f>
        <v>PETRÓLEO</v>
      </c>
      <c r="C600" s="12" t="str">
        <f>_xlfn.XLOOKUP(Tabla15[[#This Row],[GPS]],Hoja3!A:A,Hoja3!C:C)</f>
        <v>GONZALO GUERRERO</v>
      </c>
      <c r="D600" s="12" t="s">
        <v>126</v>
      </c>
      <c r="E600" s="13">
        <v>46154</v>
      </c>
      <c r="F600" s="11">
        <v>1.7381</v>
      </c>
      <c r="G600" s="11">
        <v>24.53</v>
      </c>
      <c r="H600" s="11">
        <v>1</v>
      </c>
      <c r="I600" s="11">
        <v>22.743099999999998</v>
      </c>
      <c r="J600" s="11">
        <v>84.999899999999997</v>
      </c>
      <c r="K600" s="11">
        <v>0.22</v>
      </c>
      <c r="L600" s="15">
        <f t="shared" si="9"/>
        <v>2.7255555555555557</v>
      </c>
      <c r="M600" s="14">
        <f>IF(Tabla15[[#This Row],[COMBUSTIBLE]]="PETRÓLEO",L600*$Q$2,L600*$Q$4)</f>
        <v>3273.3922222222222</v>
      </c>
      <c r="N600" s="12" t="str">
        <f>IF(OR(WEEKDAY(Tabla15[[#This Row],[Fecha]],2)=6,WEEKDAY(Tabla15[[#This Row],[Fecha]],2)=7),"Fin de semana","Semana")</f>
        <v>Semana</v>
      </c>
    </row>
    <row r="601" spans="1:14" ht="12.75" customHeight="1" x14ac:dyDescent="0.25">
      <c r="A601" s="11" t="str">
        <f>_xlfn.XLOOKUP(Tabla15[[#This Row],[GPS]],Hoja3!A:A,Hoja3!B:B)</f>
        <v>CAMIONETA</v>
      </c>
      <c r="B601" s="11" t="str">
        <f>_xlfn.XLOOKUP(GPS!D601,Hoja3!A:A,Hoja3!D:D)</f>
        <v>PETRÓLEO</v>
      </c>
      <c r="C601" s="12" t="str">
        <f>_xlfn.XLOOKUP(Tabla15[[#This Row],[GPS]],Hoja3!A:A,Hoja3!C:C)</f>
        <v>RODRIGO SALINAS</v>
      </c>
      <c r="D601" s="12" t="s">
        <v>109</v>
      </c>
      <c r="E601" s="13">
        <v>46154</v>
      </c>
      <c r="F601" s="11">
        <v>1.4108000000000001</v>
      </c>
      <c r="G601" s="11">
        <v>0.26</v>
      </c>
      <c r="H601" s="11">
        <v>0</v>
      </c>
      <c r="I601" s="11">
        <v>5.4729000000000001</v>
      </c>
      <c r="J601" s="11">
        <v>82.265799999999999</v>
      </c>
      <c r="K601" s="11">
        <v>0.18</v>
      </c>
      <c r="L601" s="15">
        <f t="shared" si="9"/>
        <v>2.8888888888888891E-2</v>
      </c>
      <c r="M601" s="14">
        <f>IF(Tabla15[[#This Row],[COMBUSTIBLE]]="PETRÓLEO",L601*$Q$2,L601*$Q$4)</f>
        <v>34.695555555555558</v>
      </c>
      <c r="N601" s="12" t="str">
        <f>IF(OR(WEEKDAY(Tabla15[[#This Row],[Fecha]],2)=6,WEEKDAY(Tabla15[[#This Row],[Fecha]],2)=7),"Fin de semana","Semana")</f>
        <v>Semana</v>
      </c>
    </row>
    <row r="602" spans="1:14" ht="12.75" customHeight="1" x14ac:dyDescent="0.25">
      <c r="A602" s="11" t="str">
        <f>_xlfn.XLOOKUP(Tabla15[[#This Row],[GPS]],Hoja3!A:A,Hoja3!B:B)</f>
        <v>TRACTOR</v>
      </c>
      <c r="B602" s="11" t="str">
        <f>_xlfn.XLOOKUP(GPS!D602,Hoja3!A:A,Hoja3!D:D)</f>
        <v>PETRÓLEO</v>
      </c>
      <c r="C602" s="12" t="str">
        <f>_xlfn.XLOOKUP(Tabla15[[#This Row],[GPS]],Hoja3!A:A,Hoja3!C:C)</f>
        <v>T11</v>
      </c>
      <c r="D602" s="12" t="s">
        <v>15</v>
      </c>
      <c r="E602" s="13">
        <v>46154</v>
      </c>
      <c r="F602" s="11">
        <v>0.1022</v>
      </c>
      <c r="G602" s="11">
        <v>2.68</v>
      </c>
      <c r="H602" s="11">
        <v>1</v>
      </c>
      <c r="I602" s="11">
        <v>5.056</v>
      </c>
      <c r="J602" s="11">
        <v>14.353</v>
      </c>
      <c r="K602" s="11">
        <v>0.01</v>
      </c>
      <c r="L602" s="15">
        <f t="shared" si="9"/>
        <v>0.44666666666666671</v>
      </c>
      <c r="M602" s="14">
        <f>IF(Tabla15[[#This Row],[COMBUSTIBLE]]="PETRÓLEO",L602*$Q$2,L602*$Q$4)</f>
        <v>536.44666666666672</v>
      </c>
      <c r="N602" s="12" t="str">
        <f>IF(OR(WEEKDAY(Tabla15[[#This Row],[Fecha]],2)=6,WEEKDAY(Tabla15[[#This Row],[Fecha]],2)=7),"Fin de semana","Semana")</f>
        <v>Semana</v>
      </c>
    </row>
    <row r="603" spans="1:14" ht="12.75" customHeight="1" x14ac:dyDescent="0.25">
      <c r="A603" s="11" t="str">
        <f>_xlfn.XLOOKUP(Tabla15[[#This Row],[GPS]],Hoja3!A:A,Hoja3!B:B)</f>
        <v>TRACTOR</v>
      </c>
      <c r="B603" s="11" t="str">
        <f>_xlfn.XLOOKUP(GPS!D603,Hoja3!A:A,Hoja3!D:D)</f>
        <v>PETRÓLEO</v>
      </c>
      <c r="C603" s="12" t="str">
        <f>_xlfn.XLOOKUP(Tabla15[[#This Row],[GPS]],Hoja3!A:A,Hoja3!C:C)</f>
        <v>T10</v>
      </c>
      <c r="D603" s="12" t="s">
        <v>14</v>
      </c>
      <c r="E603" s="13">
        <v>46154</v>
      </c>
      <c r="F603" s="11">
        <v>3.0999999999999999E-3</v>
      </c>
      <c r="G603" s="11">
        <v>0.01</v>
      </c>
      <c r="H603" s="11">
        <v>0</v>
      </c>
      <c r="I603" s="11">
        <v>6.1116000000000001</v>
      </c>
      <c r="J603" s="11">
        <v>6.1116000000000001</v>
      </c>
      <c r="K603" s="11">
        <v>0</v>
      </c>
      <c r="L603" s="15">
        <f t="shared" si="9"/>
        <v>1.6666666666666668E-3</v>
      </c>
      <c r="M603" s="14">
        <f>IF(Tabla15[[#This Row],[COMBUSTIBLE]]="PETRÓLEO",L603*$Q$2,L603*$Q$4)</f>
        <v>2.0016666666666669</v>
      </c>
      <c r="N603" s="12" t="str">
        <f>IF(OR(WEEKDAY(Tabla15[[#This Row],[Fecha]],2)=6,WEEKDAY(Tabla15[[#This Row],[Fecha]],2)=7),"Fin de semana","Semana")</f>
        <v>Semana</v>
      </c>
    </row>
    <row r="604" spans="1:14" ht="12.75" customHeight="1" x14ac:dyDescent="0.25">
      <c r="A604" s="11" t="str">
        <f>_xlfn.XLOOKUP(Tabla15[[#This Row],[GPS]],Hoja3!A:A,Hoja3!B:B)</f>
        <v>CAMIONETA</v>
      </c>
      <c r="B604" s="11" t="str">
        <f>_xlfn.XLOOKUP(GPS!D604,Hoja3!A:A,Hoja3!D:D)</f>
        <v>PETRÓLEO</v>
      </c>
      <c r="C604" s="12" t="str">
        <f>_xlfn.XLOOKUP(Tabla15[[#This Row],[GPS]],Hoja3!A:A,Hoja3!C:C)</f>
        <v>SERGIO ROJAS</v>
      </c>
      <c r="D604" s="12" t="s">
        <v>128</v>
      </c>
      <c r="E604" s="13">
        <v>46154</v>
      </c>
      <c r="F604" s="11">
        <v>0</v>
      </c>
      <c r="G604" s="11">
        <v>17.440000000000001</v>
      </c>
      <c r="H604" s="11">
        <v>1</v>
      </c>
      <c r="I604" s="11">
        <v>17.597200000000001</v>
      </c>
      <c r="J604" s="11">
        <v>59.634399999999999</v>
      </c>
      <c r="K604" s="11">
        <v>0</v>
      </c>
      <c r="L604" s="15">
        <f t="shared" si="9"/>
        <v>1.9377777777777778</v>
      </c>
      <c r="M604" s="14">
        <f>IF(Tabla15[[#This Row],[COMBUSTIBLE]]="PETRÓLEO",L604*$Q$2,L604*$Q$4)</f>
        <v>2327.2711111111112</v>
      </c>
      <c r="N604" s="12" t="str">
        <f>IF(OR(WEEKDAY(Tabla15[[#This Row],[Fecha]],2)=6,WEEKDAY(Tabla15[[#This Row],[Fecha]],2)=7),"Fin de semana","Semana")</f>
        <v>Semana</v>
      </c>
    </row>
    <row r="605" spans="1:14" ht="12.75" customHeight="1" x14ac:dyDescent="0.25">
      <c r="A605" s="11" t="str">
        <f>_xlfn.XLOOKUP(Tabla15[[#This Row],[GPS]],Hoja3!A:A,Hoja3!B:B)</f>
        <v>CAMIONETA</v>
      </c>
      <c r="B605" s="11" t="str">
        <f>_xlfn.XLOOKUP(GPS!D605,Hoja3!A:A,Hoja3!D:D)</f>
        <v>BENCINA</v>
      </c>
      <c r="C605" s="12" t="str">
        <f>_xlfn.XLOOKUP(Tabla15[[#This Row],[GPS]],Hoja3!A:A,Hoja3!C:C)</f>
        <v>VG PIÑALEO</v>
      </c>
      <c r="D605" s="12" t="s">
        <v>114</v>
      </c>
      <c r="E605" s="13">
        <v>46154</v>
      </c>
      <c r="F605" s="11">
        <v>0</v>
      </c>
      <c r="G605" s="11">
        <v>113.99</v>
      </c>
      <c r="H605" s="11">
        <v>1</v>
      </c>
      <c r="I605" s="11">
        <v>37.798000000000002</v>
      </c>
      <c r="J605" s="11">
        <v>118</v>
      </c>
      <c r="K605" s="11">
        <v>0</v>
      </c>
      <c r="L605" s="15">
        <f t="shared" si="9"/>
        <v>10.362727272727271</v>
      </c>
      <c r="M605" s="14">
        <f>IF(Tabla15[[#This Row],[COMBUSTIBLE]]="PETRÓLEO",L605*$Q$2,L605*$Q$4)</f>
        <v>16062.22727272727</v>
      </c>
      <c r="N605" s="12" t="str">
        <f>IF(OR(WEEKDAY(Tabla15[[#This Row],[Fecha]],2)=6,WEEKDAY(Tabla15[[#This Row],[Fecha]],2)=7),"Fin de semana","Semana")</f>
        <v>Semana</v>
      </c>
    </row>
    <row r="606" spans="1:14" ht="12.75" customHeight="1" x14ac:dyDescent="0.25">
      <c r="A606" s="11" t="str">
        <f>_xlfn.XLOOKUP(Tabla15[[#This Row],[GPS]],Hoja3!A:A,Hoja3!B:B)</f>
        <v>CAMIONETA</v>
      </c>
      <c r="B606" s="11" t="str">
        <f>_xlfn.XLOOKUP(GPS!D606,Hoja3!A:A,Hoja3!D:D)</f>
        <v>BENCINA</v>
      </c>
      <c r="C606" s="12" t="str">
        <f>_xlfn.XLOOKUP(Tabla15[[#This Row],[GPS]],Hoja3!A:A,Hoja3!C:C)</f>
        <v>VG CERRILLOS</v>
      </c>
      <c r="D606" s="12" t="s">
        <v>137</v>
      </c>
      <c r="E606" s="13">
        <v>46154</v>
      </c>
      <c r="F606" s="11">
        <v>0</v>
      </c>
      <c r="G606" s="11">
        <v>35.56</v>
      </c>
      <c r="H606" s="11">
        <v>1</v>
      </c>
      <c r="I606" s="11">
        <v>15.764099999999999</v>
      </c>
      <c r="J606" s="11">
        <v>83</v>
      </c>
      <c r="K606" s="11">
        <v>0</v>
      </c>
      <c r="L606" s="15">
        <f t="shared" si="9"/>
        <v>3.2327272727272729</v>
      </c>
      <c r="M606" s="14">
        <f>IF(Tabla15[[#This Row],[COMBUSTIBLE]]="PETRÓLEO",L606*$Q$2,L606*$Q$4)</f>
        <v>5010.727272727273</v>
      </c>
      <c r="N606" s="12" t="str">
        <f>IF(OR(WEEKDAY(Tabla15[[#This Row],[Fecha]],2)=6,WEEKDAY(Tabla15[[#This Row],[Fecha]],2)=7),"Fin de semana","Semana")</f>
        <v>Semana</v>
      </c>
    </row>
    <row r="607" spans="1:14" ht="12.75" customHeight="1" x14ac:dyDescent="0.25">
      <c r="A607" s="11" t="str">
        <f>_xlfn.XLOOKUP(Tabla15[[#This Row],[GPS]],Hoja3!A:A,Hoja3!B:B)</f>
        <v>CAMIONETA</v>
      </c>
      <c r="B607" s="11" t="str">
        <f>_xlfn.XLOOKUP(GPS!D607,Hoja3!A:A,Hoja3!D:D)</f>
        <v>BENCINA</v>
      </c>
      <c r="C607" s="12" t="str">
        <f>_xlfn.XLOOKUP(Tabla15[[#This Row],[GPS]],Hoja3!A:A,Hoja3!C:C)</f>
        <v>VG GERARDO</v>
      </c>
      <c r="D607" s="12" t="s">
        <v>118</v>
      </c>
      <c r="E607" s="13">
        <v>46154</v>
      </c>
      <c r="F607" s="11">
        <v>0</v>
      </c>
      <c r="G607" s="11">
        <v>67.510000000000005</v>
      </c>
      <c r="H607" s="11">
        <v>1</v>
      </c>
      <c r="I607" s="11">
        <v>31.667100000000001</v>
      </c>
      <c r="J607" s="11">
        <v>100.8599</v>
      </c>
      <c r="K607" s="11">
        <v>0</v>
      </c>
      <c r="L607" s="15">
        <f t="shared" si="9"/>
        <v>6.1372727272727277</v>
      </c>
      <c r="M607" s="14">
        <f>IF(Tabla15[[#This Row],[COMBUSTIBLE]]="PETRÓLEO",L607*$Q$2,L607*$Q$4)</f>
        <v>9512.7727272727279</v>
      </c>
      <c r="N607" s="12" t="str">
        <f>IF(OR(WEEKDAY(Tabla15[[#This Row],[Fecha]],2)=6,WEEKDAY(Tabla15[[#This Row],[Fecha]],2)=7),"Fin de semana","Semana")</f>
        <v>Semana</v>
      </c>
    </row>
    <row r="608" spans="1:14" ht="12.75" customHeight="1" x14ac:dyDescent="0.25">
      <c r="A608" s="11" t="str">
        <f>_xlfn.XLOOKUP(Tabla15[[#This Row],[GPS]],Hoja3!A:A,Hoja3!B:B)</f>
        <v>TRACTOR</v>
      </c>
      <c r="B608" s="11" t="str">
        <f>_xlfn.XLOOKUP(GPS!D608,Hoja3!A:A,Hoja3!D:D)</f>
        <v>PETRÓLEO</v>
      </c>
      <c r="C608" s="12" t="str">
        <f>_xlfn.XLOOKUP(Tabla15[[#This Row],[GPS]],Hoja3!A:A,Hoja3!C:C)</f>
        <v>T12</v>
      </c>
      <c r="D608" s="12" t="s">
        <v>17</v>
      </c>
      <c r="E608" s="13">
        <v>46154</v>
      </c>
      <c r="F608" s="11">
        <v>0</v>
      </c>
      <c r="G608" s="11">
        <v>0.06</v>
      </c>
      <c r="H608" s="11">
        <v>0</v>
      </c>
      <c r="I608" s="11">
        <v>8.6487999999999996</v>
      </c>
      <c r="J608" s="11">
        <v>20.7424</v>
      </c>
      <c r="K608" s="11">
        <v>0</v>
      </c>
      <c r="L608" s="15">
        <f t="shared" si="9"/>
        <v>0.01</v>
      </c>
      <c r="M608" s="14">
        <f>IF(Tabla15[[#This Row],[COMBUSTIBLE]]="PETRÓLEO",L608*$Q$2,L608*$Q$4)</f>
        <v>12.01</v>
      </c>
      <c r="N608" s="12" t="str">
        <f>IF(OR(WEEKDAY(Tabla15[[#This Row],[Fecha]],2)=6,WEEKDAY(Tabla15[[#This Row],[Fecha]],2)=7),"Fin de semana","Semana")</f>
        <v>Semana</v>
      </c>
    </row>
    <row r="609" spans="1:14" ht="12.75" customHeight="1" x14ac:dyDescent="0.25">
      <c r="A609" s="11" t="str">
        <f>_xlfn.XLOOKUP(Tabla15[[#This Row],[GPS]],Hoja3!A:A,Hoja3!B:B)</f>
        <v>TRACTOR</v>
      </c>
      <c r="B609" s="11" t="str">
        <f>_xlfn.XLOOKUP(GPS!D609,Hoja3!A:A,Hoja3!D:D)</f>
        <v>PETRÓLEO</v>
      </c>
      <c r="C609" s="12" t="str">
        <f>_xlfn.XLOOKUP(Tabla15[[#This Row],[GPS]],Hoja3!A:A,Hoja3!C:C)</f>
        <v>T7</v>
      </c>
      <c r="D609" s="12" t="s">
        <v>26</v>
      </c>
      <c r="E609" s="13">
        <v>46156</v>
      </c>
      <c r="F609" s="11">
        <v>11.637499999999999</v>
      </c>
      <c r="G609" s="11">
        <v>1.5</v>
      </c>
      <c r="H609" s="11">
        <v>1</v>
      </c>
      <c r="I609" s="11">
        <v>3.1619999999999999</v>
      </c>
      <c r="J609" s="11">
        <v>13.315899999999999</v>
      </c>
      <c r="K609" s="11">
        <v>1.45</v>
      </c>
      <c r="L609" s="15">
        <f t="shared" si="9"/>
        <v>0.25</v>
      </c>
      <c r="M609" s="14">
        <f>IF(Tabla15[[#This Row],[COMBUSTIBLE]]="PETRÓLEO",L609*$Q$2,L609*$Q$4)</f>
        <v>300.25</v>
      </c>
      <c r="N609" s="12" t="str">
        <f>IF(OR(WEEKDAY(Tabla15[[#This Row],[Fecha]],2)=6,WEEKDAY(Tabla15[[#This Row],[Fecha]],2)=7),"Fin de semana","Semana")</f>
        <v>Semana</v>
      </c>
    </row>
    <row r="610" spans="1:14" ht="12.75" customHeight="1" x14ac:dyDescent="0.25">
      <c r="A610" s="11" t="str">
        <f>_xlfn.XLOOKUP(Tabla15[[#This Row],[GPS]],Hoja3!A:A,Hoja3!B:B)</f>
        <v>TRACTOR</v>
      </c>
      <c r="B610" s="11" t="str">
        <f>_xlfn.XLOOKUP(GPS!D610,Hoja3!A:A,Hoja3!D:D)</f>
        <v>PETRÓLEO</v>
      </c>
      <c r="C610" s="12" t="str">
        <f>_xlfn.XLOOKUP(Tabla15[[#This Row],[GPS]],Hoja3!A:A,Hoja3!C:C)</f>
        <v>T6</v>
      </c>
      <c r="D610" s="12" t="s">
        <v>25</v>
      </c>
      <c r="E610" s="13">
        <v>46156</v>
      </c>
      <c r="F610" s="11">
        <v>5.4356</v>
      </c>
      <c r="G610" s="11">
        <v>26.56</v>
      </c>
      <c r="H610" s="11">
        <v>1</v>
      </c>
      <c r="I610" s="11">
        <v>8.6107999999999993</v>
      </c>
      <c r="J610" s="11">
        <v>26</v>
      </c>
      <c r="K610" s="11">
        <v>0.68</v>
      </c>
      <c r="L610" s="15">
        <f t="shared" si="9"/>
        <v>4.4266666666666667</v>
      </c>
      <c r="M610" s="14">
        <f>IF(Tabla15[[#This Row],[COMBUSTIBLE]]="PETRÓLEO",L610*$Q$2,L610*$Q$4)</f>
        <v>5316.4266666666672</v>
      </c>
      <c r="N610" s="12" t="str">
        <f>IF(OR(WEEKDAY(Tabla15[[#This Row],[Fecha]],2)=6,WEEKDAY(Tabla15[[#This Row],[Fecha]],2)=7),"Fin de semana","Semana")</f>
        <v>Semana</v>
      </c>
    </row>
    <row r="611" spans="1:14" ht="12.75" customHeight="1" x14ac:dyDescent="0.25">
      <c r="A611" s="11" t="str">
        <f>_xlfn.XLOOKUP(Tabla15[[#This Row],[GPS]],Hoja3!A:A,Hoja3!B:B)</f>
        <v>CAMIONETA</v>
      </c>
      <c r="B611" s="11" t="str">
        <f>_xlfn.XLOOKUP(GPS!D611,Hoja3!A:A,Hoja3!D:D)</f>
        <v>PETRÓLEO</v>
      </c>
      <c r="C611" s="12" t="str">
        <f>_xlfn.XLOOKUP(Tabla15[[#This Row],[GPS]],Hoja3!A:A,Hoja3!C:C)</f>
        <v>CAMPO CERRILLOS</v>
      </c>
      <c r="D611" s="12" t="s">
        <v>121</v>
      </c>
      <c r="E611" s="13">
        <v>46156</v>
      </c>
      <c r="F611" s="11">
        <v>4.6036000000000001</v>
      </c>
      <c r="G611" s="11">
        <v>153.5</v>
      </c>
      <c r="H611" s="11">
        <v>1</v>
      </c>
      <c r="I611" s="11">
        <v>40.836799999999997</v>
      </c>
      <c r="J611" s="11">
        <v>151.1788</v>
      </c>
      <c r="K611" s="11">
        <v>0.57999999999999996</v>
      </c>
      <c r="L611" s="15">
        <f t="shared" si="9"/>
        <v>17.055555555555557</v>
      </c>
      <c r="M611" s="14">
        <f>IF(Tabla15[[#This Row],[COMBUSTIBLE]]="PETRÓLEO",L611*$Q$2,L611*$Q$4)</f>
        <v>20483.722222222223</v>
      </c>
      <c r="N611" s="12" t="str">
        <f>IF(OR(WEEKDAY(Tabla15[[#This Row],[Fecha]],2)=6,WEEKDAY(Tabla15[[#This Row],[Fecha]],2)=7),"Fin de semana","Semana")</f>
        <v>Semana</v>
      </c>
    </row>
    <row r="612" spans="1:14" ht="12.75" customHeight="1" x14ac:dyDescent="0.25">
      <c r="A612" s="11" t="str">
        <f>_xlfn.XLOOKUP(Tabla15[[#This Row],[GPS]],Hoja3!A:A,Hoja3!B:B)</f>
        <v>CAMIONETA</v>
      </c>
      <c r="B612" s="11" t="str">
        <f>_xlfn.XLOOKUP(GPS!D612,Hoja3!A:A,Hoja3!D:D)</f>
        <v>PETRÓLEO</v>
      </c>
      <c r="C612" s="12" t="str">
        <f>_xlfn.XLOOKUP(Tabla15[[#This Row],[GPS]],Hoja3!A:A,Hoja3!C:C)</f>
        <v>RODRIGO SALINAS</v>
      </c>
      <c r="D612" s="12" t="s">
        <v>109</v>
      </c>
      <c r="E612" s="13">
        <v>46156</v>
      </c>
      <c r="F612" s="11">
        <v>2.88</v>
      </c>
      <c r="G612" s="11">
        <v>99.26</v>
      </c>
      <c r="H612" s="11">
        <v>1</v>
      </c>
      <c r="I612" s="11">
        <v>44.0276</v>
      </c>
      <c r="J612" s="11">
        <v>145.0001</v>
      </c>
      <c r="K612" s="11">
        <v>0.36</v>
      </c>
      <c r="L612" s="15">
        <f t="shared" si="9"/>
        <v>11.02888888888889</v>
      </c>
      <c r="M612" s="14">
        <f>IF(Tabla15[[#This Row],[COMBUSTIBLE]]="PETRÓLEO",L612*$Q$2,L612*$Q$4)</f>
        <v>13245.695555555556</v>
      </c>
      <c r="N612" s="12" t="str">
        <f>IF(OR(WEEKDAY(Tabla15[[#This Row],[Fecha]],2)=6,WEEKDAY(Tabla15[[#This Row],[Fecha]],2)=7),"Fin de semana","Semana")</f>
        <v>Semana</v>
      </c>
    </row>
    <row r="613" spans="1:14" ht="12.75" customHeight="1" x14ac:dyDescent="0.25">
      <c r="A613" s="11" t="str">
        <f>_xlfn.XLOOKUP(Tabla15[[#This Row],[GPS]],Hoja3!A:A,Hoja3!B:B)</f>
        <v>CAMIONETA</v>
      </c>
      <c r="B613" s="11" t="str">
        <f>_xlfn.XLOOKUP(GPS!D613,Hoja3!A:A,Hoja3!D:D)</f>
        <v>PETRÓLEO</v>
      </c>
      <c r="C613" s="12" t="str">
        <f>_xlfn.XLOOKUP(Tabla15[[#This Row],[GPS]],Hoja3!A:A,Hoja3!C:C)</f>
        <v>CAMPO RULO</v>
      </c>
      <c r="D613" s="12" t="s">
        <v>135</v>
      </c>
      <c r="E613" s="13">
        <v>46156</v>
      </c>
      <c r="F613" s="11">
        <v>2.7713999999999999</v>
      </c>
      <c r="G613" s="11">
        <v>27.07</v>
      </c>
      <c r="H613" s="11">
        <v>1</v>
      </c>
      <c r="I613" s="11">
        <v>14.733700000000001</v>
      </c>
      <c r="J613" s="11">
        <v>80.000100000000003</v>
      </c>
      <c r="K613" s="11">
        <v>0.35</v>
      </c>
      <c r="L613" s="15">
        <f t="shared" si="9"/>
        <v>3.0077777777777777</v>
      </c>
      <c r="M613" s="14">
        <f>IF(Tabla15[[#This Row],[COMBUSTIBLE]]="PETRÓLEO",L613*$Q$2,L613*$Q$4)</f>
        <v>3612.3411111111109</v>
      </c>
      <c r="N613" s="12" t="str">
        <f>IF(OR(WEEKDAY(Tabla15[[#This Row],[Fecha]],2)=6,WEEKDAY(Tabla15[[#This Row],[Fecha]],2)=7),"Fin de semana","Semana")</f>
        <v>Semana</v>
      </c>
    </row>
    <row r="614" spans="1:14" ht="12.75" customHeight="1" x14ac:dyDescent="0.25">
      <c r="A614" s="11" t="str">
        <f>_xlfn.XLOOKUP(Tabla15[[#This Row],[GPS]],Hoja3!A:A,Hoja3!B:B)</f>
        <v>TRACTOR</v>
      </c>
      <c r="B614" s="11" t="str">
        <f>_xlfn.XLOOKUP(GPS!D614,Hoja3!A:A,Hoja3!D:D)</f>
        <v>PETRÓLEO</v>
      </c>
      <c r="C614" s="12" t="str">
        <f>_xlfn.XLOOKUP(Tabla15[[#This Row],[GPS]],Hoja3!A:A,Hoja3!C:C)</f>
        <v>T4</v>
      </c>
      <c r="D614" s="12" t="s">
        <v>23</v>
      </c>
      <c r="E614" s="13">
        <v>46156</v>
      </c>
      <c r="F614" s="11">
        <v>2.5232999999999999</v>
      </c>
      <c r="G614" s="11">
        <v>22.8</v>
      </c>
      <c r="H614" s="11">
        <v>1</v>
      </c>
      <c r="I614" s="11">
        <v>10.2324</v>
      </c>
      <c r="J614" s="11">
        <v>29.0001</v>
      </c>
      <c r="K614" s="11">
        <v>0.32</v>
      </c>
      <c r="L614" s="15">
        <f t="shared" si="9"/>
        <v>3.8000000000000003</v>
      </c>
      <c r="M614" s="14">
        <f>IF(Tabla15[[#This Row],[COMBUSTIBLE]]="PETRÓLEO",L614*$Q$2,L614*$Q$4)</f>
        <v>4563.8</v>
      </c>
      <c r="N614" s="12" t="str">
        <f>IF(OR(WEEKDAY(Tabla15[[#This Row],[Fecha]],2)=6,WEEKDAY(Tabla15[[#This Row],[Fecha]],2)=7),"Fin de semana","Semana")</f>
        <v>Semana</v>
      </c>
    </row>
    <row r="615" spans="1:14" ht="12.75" customHeight="1" x14ac:dyDescent="0.25">
      <c r="A615" s="11" t="str">
        <f>_xlfn.XLOOKUP(Tabla15[[#This Row],[GPS]],Hoja3!A:A,Hoja3!B:B)</f>
        <v>CAMIONETA</v>
      </c>
      <c r="B615" s="11" t="str">
        <f>_xlfn.XLOOKUP(GPS!D615,Hoja3!A:A,Hoja3!D:D)</f>
        <v>PETRÓLEO</v>
      </c>
      <c r="C615" s="12" t="str">
        <f>_xlfn.XLOOKUP(Tabla15[[#This Row],[GPS]],Hoja3!A:A,Hoja3!C:C)</f>
        <v>GONZALO GUERRERO</v>
      </c>
      <c r="D615" s="12" t="s">
        <v>126</v>
      </c>
      <c r="E615" s="13">
        <v>46156</v>
      </c>
      <c r="F615" s="11">
        <v>2.4597000000000002</v>
      </c>
      <c r="G615" s="11">
        <v>62.78</v>
      </c>
      <c r="H615" s="11">
        <v>1</v>
      </c>
      <c r="I615" s="11">
        <v>29.388400000000001</v>
      </c>
      <c r="J615" s="11">
        <v>124.23220000000001</v>
      </c>
      <c r="K615" s="11">
        <v>0.31</v>
      </c>
      <c r="L615" s="15">
        <f t="shared" si="9"/>
        <v>6.9755555555555553</v>
      </c>
      <c r="M615" s="14">
        <f>IF(Tabla15[[#This Row],[COMBUSTIBLE]]="PETRÓLEO",L615*$Q$2,L615*$Q$4)</f>
        <v>8377.6422222222227</v>
      </c>
      <c r="N615" s="12" t="str">
        <f>IF(OR(WEEKDAY(Tabla15[[#This Row],[Fecha]],2)=6,WEEKDAY(Tabla15[[#This Row],[Fecha]],2)=7),"Fin de semana","Semana")</f>
        <v>Semana</v>
      </c>
    </row>
    <row r="616" spans="1:14" ht="12.75" customHeight="1" x14ac:dyDescent="0.25">
      <c r="A616" s="11" t="str">
        <f>_xlfn.XLOOKUP(Tabla15[[#This Row],[GPS]],Hoja3!A:A,Hoja3!B:B)</f>
        <v>TRACTOR</v>
      </c>
      <c r="B616" s="11" t="str">
        <f>_xlfn.XLOOKUP(GPS!D616,Hoja3!A:A,Hoja3!D:D)</f>
        <v>PETRÓLEO</v>
      </c>
      <c r="C616" s="12" t="str">
        <f>_xlfn.XLOOKUP(Tabla15[[#This Row],[GPS]],Hoja3!A:A,Hoja3!C:C)</f>
        <v>T8</v>
      </c>
      <c r="D616" s="12" t="s">
        <v>27</v>
      </c>
      <c r="E616" s="13">
        <v>46156</v>
      </c>
      <c r="F616" s="11">
        <v>2.2385999999999999</v>
      </c>
      <c r="G616" s="11">
        <v>8.66</v>
      </c>
      <c r="H616" s="11">
        <v>1</v>
      </c>
      <c r="I616" s="11">
        <v>6.8657000000000004</v>
      </c>
      <c r="J616" s="11">
        <v>29.520900000000001</v>
      </c>
      <c r="K616" s="11">
        <v>0.28000000000000003</v>
      </c>
      <c r="L616" s="15">
        <f t="shared" si="9"/>
        <v>1.4433333333333334</v>
      </c>
      <c r="M616" s="14">
        <f>IF(Tabla15[[#This Row],[COMBUSTIBLE]]="PETRÓLEO",L616*$Q$2,L616*$Q$4)</f>
        <v>1733.4433333333334</v>
      </c>
      <c r="N616" s="12" t="str">
        <f>IF(OR(WEEKDAY(Tabla15[[#This Row],[Fecha]],2)=6,WEEKDAY(Tabla15[[#This Row],[Fecha]],2)=7),"Fin de semana","Semana")</f>
        <v>Semana</v>
      </c>
    </row>
    <row r="617" spans="1:14" ht="12.75" customHeight="1" x14ac:dyDescent="0.25">
      <c r="A617" s="11" t="str">
        <f>_xlfn.XLOOKUP(Tabla15[[#This Row],[GPS]],Hoja3!A:A,Hoja3!B:B)</f>
        <v>CAMIONETA</v>
      </c>
      <c r="B617" s="11" t="str">
        <f>_xlfn.XLOOKUP(GPS!D617,Hoja3!A:A,Hoja3!D:D)</f>
        <v>PETRÓLEO</v>
      </c>
      <c r="C617" s="12" t="str">
        <f>_xlfn.XLOOKUP(Tabla15[[#This Row],[GPS]],Hoja3!A:A,Hoja3!C:C)</f>
        <v>CAMPO PAINE</v>
      </c>
      <c r="D617" s="12" t="s">
        <v>131</v>
      </c>
      <c r="E617" s="13">
        <v>46156</v>
      </c>
      <c r="F617" s="11">
        <v>1.9781</v>
      </c>
      <c r="G617" s="11">
        <v>23.46</v>
      </c>
      <c r="H617" s="11">
        <v>1</v>
      </c>
      <c r="I617" s="11">
        <v>15.5312</v>
      </c>
      <c r="J617" s="11">
        <v>65.227400000000003</v>
      </c>
      <c r="K617" s="11">
        <v>0.25</v>
      </c>
      <c r="L617" s="15">
        <f t="shared" si="9"/>
        <v>2.6066666666666669</v>
      </c>
      <c r="M617" s="14">
        <f>IF(Tabla15[[#This Row],[COMBUSTIBLE]]="PETRÓLEO",L617*$Q$2,L617*$Q$4)</f>
        <v>3130.606666666667</v>
      </c>
      <c r="N617" s="12" t="str">
        <f>IF(OR(WEEKDAY(Tabla15[[#This Row],[Fecha]],2)=6,WEEKDAY(Tabla15[[#This Row],[Fecha]],2)=7),"Fin de semana","Semana")</f>
        <v>Semana</v>
      </c>
    </row>
    <row r="618" spans="1:14" ht="12.75" customHeight="1" x14ac:dyDescent="0.25">
      <c r="A618" s="11" t="str">
        <f>_xlfn.XLOOKUP(Tabla15[[#This Row],[GPS]],Hoja3!A:A,Hoja3!B:B)</f>
        <v>TRACTOR</v>
      </c>
      <c r="B618" s="11" t="str">
        <f>_xlfn.XLOOKUP(GPS!D618,Hoja3!A:A,Hoja3!D:D)</f>
        <v>PETRÓLEO</v>
      </c>
      <c r="C618" s="12" t="str">
        <f>_xlfn.XLOOKUP(Tabla15[[#This Row],[GPS]],Hoja3!A:A,Hoja3!C:C)</f>
        <v>T11</v>
      </c>
      <c r="D618" s="12" t="s">
        <v>15</v>
      </c>
      <c r="E618" s="13">
        <v>46156</v>
      </c>
      <c r="F618" s="11">
        <v>1.3956</v>
      </c>
      <c r="G618" s="11">
        <v>5.87</v>
      </c>
      <c r="H618" s="11">
        <v>1</v>
      </c>
      <c r="I618" s="11">
        <v>6.3186999999999998</v>
      </c>
      <c r="J618" s="11">
        <v>100.9525</v>
      </c>
      <c r="K618" s="11">
        <v>0.17</v>
      </c>
      <c r="L618" s="15">
        <f t="shared" si="9"/>
        <v>0.97833333333333339</v>
      </c>
      <c r="M618" s="14">
        <f>IF(Tabla15[[#This Row],[COMBUSTIBLE]]="PETRÓLEO",L618*$Q$2,L618*$Q$4)</f>
        <v>1174.9783333333335</v>
      </c>
      <c r="N618" s="12" t="str">
        <f>IF(OR(WEEKDAY(Tabla15[[#This Row],[Fecha]],2)=6,WEEKDAY(Tabla15[[#This Row],[Fecha]],2)=7),"Fin de semana","Semana")</f>
        <v>Semana</v>
      </c>
    </row>
    <row r="619" spans="1:14" ht="12.75" customHeight="1" x14ac:dyDescent="0.25">
      <c r="A619" s="11" t="str">
        <f>_xlfn.XLOOKUP(Tabla15[[#This Row],[GPS]],Hoja3!A:A,Hoja3!B:B)</f>
        <v>TRACTOR</v>
      </c>
      <c r="B619" s="11" t="str">
        <f>_xlfn.XLOOKUP(GPS!D619,Hoja3!A:A,Hoja3!D:D)</f>
        <v>PETRÓLEO</v>
      </c>
      <c r="C619" s="12" t="str">
        <f>_xlfn.XLOOKUP(Tabla15[[#This Row],[GPS]],Hoja3!A:A,Hoja3!C:C)</f>
        <v>T12</v>
      </c>
      <c r="D619" s="12" t="s">
        <v>17</v>
      </c>
      <c r="E619" s="13">
        <v>46156</v>
      </c>
      <c r="F619" s="11">
        <v>0</v>
      </c>
      <c r="G619" s="11">
        <v>0.02</v>
      </c>
      <c r="H619" s="11">
        <v>0</v>
      </c>
      <c r="I619" s="11">
        <v>4.7843</v>
      </c>
      <c r="J619" s="11">
        <v>24.7057</v>
      </c>
      <c r="K619" s="11">
        <v>0</v>
      </c>
      <c r="L619" s="15">
        <f t="shared" si="9"/>
        <v>3.3333333333333335E-3</v>
      </c>
      <c r="M619" s="14">
        <f>IF(Tabla15[[#This Row],[COMBUSTIBLE]]="PETRÓLEO",L619*$Q$2,L619*$Q$4)</f>
        <v>4.0033333333333339</v>
      </c>
      <c r="N619" s="12" t="str">
        <f>IF(OR(WEEKDAY(Tabla15[[#This Row],[Fecha]],2)=6,WEEKDAY(Tabla15[[#This Row],[Fecha]],2)=7),"Fin de semana","Semana")</f>
        <v>Semana</v>
      </c>
    </row>
    <row r="620" spans="1:14" ht="12.75" customHeight="1" x14ac:dyDescent="0.25">
      <c r="A620" s="11" t="str">
        <f>_xlfn.XLOOKUP(Tabla15[[#This Row],[GPS]],Hoja3!A:A,Hoja3!B:B)</f>
        <v>CAMIONETA</v>
      </c>
      <c r="B620" s="11" t="str">
        <f>_xlfn.XLOOKUP(GPS!D620,Hoja3!A:A,Hoja3!D:D)</f>
        <v>BENCINA</v>
      </c>
      <c r="C620" s="12" t="str">
        <f>_xlfn.XLOOKUP(Tabla15[[#This Row],[GPS]],Hoja3!A:A,Hoja3!C:C)</f>
        <v>VG GERARDO</v>
      </c>
      <c r="D620" s="12" t="s">
        <v>118</v>
      </c>
      <c r="E620" s="13">
        <v>46156</v>
      </c>
      <c r="F620" s="11">
        <v>0</v>
      </c>
      <c r="G620" s="11">
        <v>88.41</v>
      </c>
      <c r="H620" s="11">
        <v>1</v>
      </c>
      <c r="I620" s="11">
        <v>33.161299999999997</v>
      </c>
      <c r="J620" s="11">
        <v>96.000100000000003</v>
      </c>
      <c r="K620" s="11">
        <v>0</v>
      </c>
      <c r="L620" s="15">
        <f t="shared" si="9"/>
        <v>8.0372727272727271</v>
      </c>
      <c r="M620" s="14">
        <f>IF(Tabla15[[#This Row],[COMBUSTIBLE]]="PETRÓLEO",L620*$Q$2,L620*$Q$4)</f>
        <v>12457.772727272728</v>
      </c>
      <c r="N620" s="12" t="str">
        <f>IF(OR(WEEKDAY(Tabla15[[#This Row],[Fecha]],2)=6,WEEKDAY(Tabla15[[#This Row],[Fecha]],2)=7),"Fin de semana","Semana")</f>
        <v>Semana</v>
      </c>
    </row>
    <row r="621" spans="1:14" ht="12.75" customHeight="1" x14ac:dyDescent="0.25">
      <c r="A621" s="11" t="str">
        <f>_xlfn.XLOOKUP(Tabla15[[#This Row],[GPS]],Hoja3!A:A,Hoja3!B:B)</f>
        <v>CAMIONETA</v>
      </c>
      <c r="B621" s="11" t="str">
        <f>_xlfn.XLOOKUP(GPS!D621,Hoja3!A:A,Hoja3!D:D)</f>
        <v>BENCINA</v>
      </c>
      <c r="C621" s="12" t="str">
        <f>_xlfn.XLOOKUP(Tabla15[[#This Row],[GPS]],Hoja3!A:A,Hoja3!C:C)</f>
        <v>VG CERRILLOS</v>
      </c>
      <c r="D621" s="12" t="s">
        <v>137</v>
      </c>
      <c r="E621" s="13">
        <v>46156</v>
      </c>
      <c r="F621" s="11">
        <v>0</v>
      </c>
      <c r="G621" s="11">
        <v>18.93</v>
      </c>
      <c r="H621" s="11">
        <v>1</v>
      </c>
      <c r="I621" s="11">
        <v>11.2971</v>
      </c>
      <c r="J621" s="11">
        <v>39.095700000000001</v>
      </c>
      <c r="K621" s="11">
        <v>0</v>
      </c>
      <c r="L621" s="15">
        <f t="shared" si="9"/>
        <v>1.7209090909090909</v>
      </c>
      <c r="M621" s="14">
        <f>IF(Tabla15[[#This Row],[COMBUSTIBLE]]="PETRÓLEO",L621*$Q$2,L621*$Q$4)</f>
        <v>2667.409090909091</v>
      </c>
      <c r="N621" s="12" t="str">
        <f>IF(OR(WEEKDAY(Tabla15[[#This Row],[Fecha]],2)=6,WEEKDAY(Tabla15[[#This Row],[Fecha]],2)=7),"Fin de semana","Semana")</f>
        <v>Semana</v>
      </c>
    </row>
    <row r="622" spans="1:14" ht="12.75" customHeight="1" x14ac:dyDescent="0.25">
      <c r="A622" s="11" t="str">
        <f>_xlfn.XLOOKUP(Tabla15[[#This Row],[GPS]],Hoja3!A:A,Hoja3!B:B)</f>
        <v>CAMIONETA</v>
      </c>
      <c r="B622" s="11" t="str">
        <f>_xlfn.XLOOKUP(GPS!D622,Hoja3!A:A,Hoja3!D:D)</f>
        <v>PETRÓLEO</v>
      </c>
      <c r="C622" s="12" t="str">
        <f>_xlfn.XLOOKUP(Tabla15[[#This Row],[GPS]],Hoja3!A:A,Hoja3!C:C)</f>
        <v>SERGIO ROJAS</v>
      </c>
      <c r="D622" s="12" t="s">
        <v>128</v>
      </c>
      <c r="E622" s="13">
        <v>46156</v>
      </c>
      <c r="F622" s="11">
        <v>0</v>
      </c>
      <c r="G622" s="11">
        <v>40.64</v>
      </c>
      <c r="H622" s="11">
        <v>1</v>
      </c>
      <c r="I622" s="11">
        <v>27.853200000000001</v>
      </c>
      <c r="J622" s="11">
        <v>87.000100000000003</v>
      </c>
      <c r="K622" s="11">
        <v>0</v>
      </c>
      <c r="L622" s="15">
        <f t="shared" si="9"/>
        <v>4.5155555555555553</v>
      </c>
      <c r="M622" s="14">
        <f>IF(Tabla15[[#This Row],[COMBUSTIBLE]]="PETRÓLEO",L622*$Q$2,L622*$Q$4)</f>
        <v>5423.1822222222218</v>
      </c>
      <c r="N622" s="12" t="str">
        <f>IF(OR(WEEKDAY(Tabla15[[#This Row],[Fecha]],2)=6,WEEKDAY(Tabla15[[#This Row],[Fecha]],2)=7),"Fin de semana","Semana")</f>
        <v>Semana</v>
      </c>
    </row>
    <row r="623" spans="1:14" ht="12.75" customHeight="1" x14ac:dyDescent="0.25">
      <c r="A623" s="11" t="str">
        <f>_xlfn.XLOOKUP(Tabla15[[#This Row],[GPS]],Hoja3!A:A,Hoja3!B:B)</f>
        <v>CAMIONETA</v>
      </c>
      <c r="B623" s="11" t="str">
        <f>_xlfn.XLOOKUP(GPS!D623,Hoja3!A:A,Hoja3!D:D)</f>
        <v>BENCINA</v>
      </c>
      <c r="C623" s="12" t="str">
        <f>_xlfn.XLOOKUP(Tabla15[[#This Row],[GPS]],Hoja3!A:A,Hoja3!C:C)</f>
        <v>VG PIÑALEO</v>
      </c>
      <c r="D623" s="12" t="s">
        <v>114</v>
      </c>
      <c r="E623" s="13">
        <v>46156</v>
      </c>
      <c r="F623" s="11">
        <v>0</v>
      </c>
      <c r="G623" s="11">
        <v>91.7</v>
      </c>
      <c r="H623" s="11">
        <v>1</v>
      </c>
      <c r="I623" s="11">
        <v>37.524299999999997</v>
      </c>
      <c r="J623" s="11">
        <v>112.0001</v>
      </c>
      <c r="K623" s="11">
        <v>0</v>
      </c>
      <c r="L623" s="15">
        <f t="shared" si="9"/>
        <v>8.336363636363636</v>
      </c>
      <c r="M623" s="14">
        <f>IF(Tabla15[[#This Row],[COMBUSTIBLE]]="PETRÓLEO",L623*$Q$2,L623*$Q$4)</f>
        <v>12921.363636363636</v>
      </c>
      <c r="N623" s="12" t="str">
        <f>IF(OR(WEEKDAY(Tabla15[[#This Row],[Fecha]],2)=6,WEEKDAY(Tabla15[[#This Row],[Fecha]],2)=7),"Fin de semana","Semana")</f>
        <v>Semana</v>
      </c>
    </row>
    <row r="624" spans="1:14" ht="12.75" customHeight="1" x14ac:dyDescent="0.25">
      <c r="A624" s="11" t="str">
        <f>_xlfn.XLOOKUP(Tabla15[[#This Row],[GPS]],Hoja3!A:A,Hoja3!B:B)</f>
        <v>TRACTOR</v>
      </c>
      <c r="B624" s="11" t="str">
        <f>_xlfn.XLOOKUP(GPS!D624,Hoja3!A:A,Hoja3!D:D)</f>
        <v>PETRÓLEO</v>
      </c>
      <c r="C624" s="12" t="str">
        <f>_xlfn.XLOOKUP(Tabla15[[#This Row],[GPS]],Hoja3!A:A,Hoja3!C:C)</f>
        <v>T14</v>
      </c>
      <c r="D624" s="12" t="s">
        <v>21</v>
      </c>
      <c r="E624" s="13">
        <v>46160</v>
      </c>
      <c r="F624" s="11">
        <v>6.65</v>
      </c>
      <c r="G624" s="11">
        <v>24.8</v>
      </c>
      <c r="H624" s="11">
        <v>1</v>
      </c>
      <c r="I624" s="11">
        <v>6.0644999999999998</v>
      </c>
      <c r="J624" s="11">
        <v>59.578800000000001</v>
      </c>
      <c r="K624" s="11">
        <v>0.83</v>
      </c>
      <c r="L624" s="15">
        <f t="shared" si="9"/>
        <v>4.1333333333333337</v>
      </c>
      <c r="M624" s="14">
        <f>IF(Tabla15[[#This Row],[COMBUSTIBLE]]="PETRÓLEO",L624*$Q$2,L624*$Q$4)</f>
        <v>4964.1333333333341</v>
      </c>
      <c r="N624" s="12" t="str">
        <f>IF(OR(WEEKDAY(Tabla15[[#This Row],[Fecha]],2)=6,WEEKDAY(Tabla15[[#This Row],[Fecha]],2)=7),"Fin de semana","Semana")</f>
        <v>Semana</v>
      </c>
    </row>
    <row r="625" spans="1:14" ht="12.75" customHeight="1" x14ac:dyDescent="0.25">
      <c r="A625" s="11" t="str">
        <f>_xlfn.XLOOKUP(Tabla15[[#This Row],[GPS]],Hoja3!A:A,Hoja3!B:B)</f>
        <v>TRACTOR</v>
      </c>
      <c r="B625" s="11" t="str">
        <f>_xlfn.XLOOKUP(GPS!D625,Hoja3!A:A,Hoja3!D:D)</f>
        <v>PETRÓLEO</v>
      </c>
      <c r="C625" s="12" t="str">
        <f>_xlfn.XLOOKUP(Tabla15[[#This Row],[GPS]],Hoja3!A:A,Hoja3!C:C)</f>
        <v>T5</v>
      </c>
      <c r="D625" s="12" t="s">
        <v>24</v>
      </c>
      <c r="E625" s="13">
        <v>46160</v>
      </c>
      <c r="F625" s="11">
        <v>6.2622</v>
      </c>
      <c r="G625" s="11">
        <v>25.32</v>
      </c>
      <c r="H625" s="11">
        <v>1</v>
      </c>
      <c r="I625" s="11">
        <v>5.7516999999999996</v>
      </c>
      <c r="J625" s="11">
        <v>21.2239</v>
      </c>
      <c r="K625" s="11">
        <v>0.78</v>
      </c>
      <c r="L625" s="15">
        <f t="shared" si="9"/>
        <v>4.22</v>
      </c>
      <c r="M625" s="14">
        <f>IF(Tabla15[[#This Row],[COMBUSTIBLE]]="PETRÓLEO",L625*$Q$2,L625*$Q$4)</f>
        <v>5068.2199999999993</v>
      </c>
      <c r="N625" s="12" t="str">
        <f>IF(OR(WEEKDAY(Tabla15[[#This Row],[Fecha]],2)=6,WEEKDAY(Tabla15[[#This Row],[Fecha]],2)=7),"Fin de semana","Semana")</f>
        <v>Semana</v>
      </c>
    </row>
    <row r="626" spans="1:14" ht="12.75" customHeight="1" x14ac:dyDescent="0.25">
      <c r="A626" s="11" t="str">
        <f>_xlfn.XLOOKUP(Tabla15[[#This Row],[GPS]],Hoja3!A:A,Hoja3!B:B)</f>
        <v>TRACTOR</v>
      </c>
      <c r="B626" s="11" t="str">
        <f>_xlfn.XLOOKUP(GPS!D626,Hoja3!A:A,Hoja3!D:D)</f>
        <v>PETRÓLEO</v>
      </c>
      <c r="C626" s="12" t="str">
        <f>_xlfn.XLOOKUP(Tabla15[[#This Row],[GPS]],Hoja3!A:A,Hoja3!C:C)</f>
        <v>T7</v>
      </c>
      <c r="D626" s="12" t="s">
        <v>26</v>
      </c>
      <c r="E626" s="13">
        <v>46157</v>
      </c>
      <c r="F626" s="11">
        <v>5.8531000000000004</v>
      </c>
      <c r="G626" s="11">
        <v>10.37</v>
      </c>
      <c r="H626" s="11">
        <v>1</v>
      </c>
      <c r="I626" s="11">
        <v>5.1856</v>
      </c>
      <c r="J626" s="11">
        <v>18</v>
      </c>
      <c r="K626" s="11">
        <v>0.73</v>
      </c>
      <c r="L626" s="15">
        <f t="shared" si="9"/>
        <v>1.7283333333333333</v>
      </c>
      <c r="M626" s="14">
        <f>IF(Tabla15[[#This Row],[COMBUSTIBLE]]="PETRÓLEO",L626*$Q$2,L626*$Q$4)</f>
        <v>2075.7283333333335</v>
      </c>
      <c r="N626" s="12" t="str">
        <f>IF(OR(WEEKDAY(Tabla15[[#This Row],[Fecha]],2)=6,WEEKDAY(Tabla15[[#This Row],[Fecha]],2)=7),"Fin de semana","Semana")</f>
        <v>Semana</v>
      </c>
    </row>
    <row r="627" spans="1:14" ht="12.75" customHeight="1" x14ac:dyDescent="0.25">
      <c r="A627" s="11" t="str">
        <f>_xlfn.XLOOKUP(Tabla15[[#This Row],[GPS]],Hoja3!A:A,Hoja3!B:B)</f>
        <v>CAMIONETA</v>
      </c>
      <c r="B627" s="11" t="str">
        <f>_xlfn.XLOOKUP(GPS!D627,Hoja3!A:A,Hoja3!D:D)</f>
        <v>PETRÓLEO</v>
      </c>
      <c r="C627" s="12" t="str">
        <f>_xlfn.XLOOKUP(Tabla15[[#This Row],[GPS]],Hoja3!A:A,Hoja3!C:C)</f>
        <v>RODRIGO SALINAS</v>
      </c>
      <c r="D627" s="12" t="s">
        <v>109</v>
      </c>
      <c r="E627" s="13">
        <v>46160</v>
      </c>
      <c r="F627" s="11">
        <v>5.3414000000000001</v>
      </c>
      <c r="G627" s="11">
        <v>214.58</v>
      </c>
      <c r="H627" s="11">
        <v>1</v>
      </c>
      <c r="I627" s="11">
        <v>35.965299999999999</v>
      </c>
      <c r="J627" s="11">
        <v>174.42140000000001</v>
      </c>
      <c r="K627" s="11">
        <v>0.67</v>
      </c>
      <c r="L627" s="15">
        <f t="shared" si="9"/>
        <v>23.842222222222222</v>
      </c>
      <c r="M627" s="14">
        <f>IF(Tabla15[[#This Row],[COMBUSTIBLE]]="PETRÓLEO",L627*$Q$2,L627*$Q$4)</f>
        <v>28634.508888888889</v>
      </c>
      <c r="N627" s="12" t="str">
        <f>IF(OR(WEEKDAY(Tabla15[[#This Row],[Fecha]],2)=6,WEEKDAY(Tabla15[[#This Row],[Fecha]],2)=7),"Fin de semana","Semana")</f>
        <v>Semana</v>
      </c>
    </row>
    <row r="628" spans="1:14" ht="12.75" customHeight="1" x14ac:dyDescent="0.25">
      <c r="A628" s="11" t="str">
        <f>_xlfn.XLOOKUP(Tabla15[[#This Row],[GPS]],Hoja3!A:A,Hoja3!B:B)</f>
        <v>TRACTOR</v>
      </c>
      <c r="B628" s="11" t="str">
        <f>_xlfn.XLOOKUP(GPS!D628,Hoja3!A:A,Hoja3!D:D)</f>
        <v>PETRÓLEO</v>
      </c>
      <c r="C628" s="12" t="str">
        <f>_xlfn.XLOOKUP(Tabla15[[#This Row],[GPS]],Hoja3!A:A,Hoja3!C:C)</f>
        <v>T6</v>
      </c>
      <c r="D628" s="12" t="s">
        <v>25</v>
      </c>
      <c r="E628" s="13">
        <v>46157</v>
      </c>
      <c r="F628" s="11">
        <v>5.2678000000000003</v>
      </c>
      <c r="G628" s="11">
        <v>18.8</v>
      </c>
      <c r="H628" s="11">
        <v>1</v>
      </c>
      <c r="I628" s="11">
        <v>7.1416000000000004</v>
      </c>
      <c r="J628" s="11">
        <v>29.0001</v>
      </c>
      <c r="K628" s="11">
        <v>0.66</v>
      </c>
      <c r="L628" s="15">
        <f t="shared" si="9"/>
        <v>3.1333333333333333</v>
      </c>
      <c r="M628" s="14">
        <f>IF(Tabla15[[#This Row],[COMBUSTIBLE]]="PETRÓLEO",L628*$Q$2,L628*$Q$4)</f>
        <v>3763.1333333333332</v>
      </c>
      <c r="N628" s="12" t="str">
        <f>IF(OR(WEEKDAY(Tabla15[[#This Row],[Fecha]],2)=6,WEEKDAY(Tabla15[[#This Row],[Fecha]],2)=7),"Fin de semana","Semana")</f>
        <v>Semana</v>
      </c>
    </row>
    <row r="629" spans="1:14" ht="12.75" customHeight="1" x14ac:dyDescent="0.25">
      <c r="A629" s="11" t="str">
        <f>_xlfn.XLOOKUP(Tabla15[[#This Row],[GPS]],Hoja3!A:A,Hoja3!B:B)</f>
        <v>TRACTOR</v>
      </c>
      <c r="B629" s="11" t="str">
        <f>_xlfn.XLOOKUP(GPS!D629,Hoja3!A:A,Hoja3!D:D)</f>
        <v>PETRÓLEO</v>
      </c>
      <c r="C629" s="12" t="str">
        <f>_xlfn.XLOOKUP(Tabla15[[#This Row],[GPS]],Hoja3!A:A,Hoja3!C:C)</f>
        <v>T4</v>
      </c>
      <c r="D629" s="12" t="s">
        <v>23</v>
      </c>
      <c r="E629" s="13">
        <v>46160</v>
      </c>
      <c r="F629" s="11">
        <v>4.9739000000000004</v>
      </c>
      <c r="G629" s="11">
        <v>20.37</v>
      </c>
      <c r="H629" s="11">
        <v>1</v>
      </c>
      <c r="I629" s="11">
        <v>6.1910999999999996</v>
      </c>
      <c r="J629" s="11">
        <v>34.187899999999999</v>
      </c>
      <c r="K629" s="11">
        <v>0.62</v>
      </c>
      <c r="L629" s="15">
        <f t="shared" si="9"/>
        <v>3.395</v>
      </c>
      <c r="M629" s="14">
        <f>IF(Tabla15[[#This Row],[COMBUSTIBLE]]="PETRÓLEO",L629*$Q$2,L629*$Q$4)</f>
        <v>4077.395</v>
      </c>
      <c r="N629" s="12" t="str">
        <f>IF(OR(WEEKDAY(Tabla15[[#This Row],[Fecha]],2)=6,WEEKDAY(Tabla15[[#This Row],[Fecha]],2)=7),"Fin de semana","Semana")</f>
        <v>Semana</v>
      </c>
    </row>
    <row r="630" spans="1:14" ht="12.75" customHeight="1" x14ac:dyDescent="0.25">
      <c r="A630" s="11" t="str">
        <f>_xlfn.XLOOKUP(Tabla15[[#This Row],[GPS]],Hoja3!A:A,Hoja3!B:B)</f>
        <v>TRACTOR</v>
      </c>
      <c r="B630" s="11" t="str">
        <f>_xlfn.XLOOKUP(GPS!D630,Hoja3!A:A,Hoja3!D:D)</f>
        <v>PETRÓLEO</v>
      </c>
      <c r="C630" s="12" t="str">
        <f>_xlfn.XLOOKUP(Tabla15[[#This Row],[GPS]],Hoja3!A:A,Hoja3!C:C)</f>
        <v>T5</v>
      </c>
      <c r="D630" s="12" t="s">
        <v>24</v>
      </c>
      <c r="E630" s="13">
        <v>46157</v>
      </c>
      <c r="F630" s="11">
        <v>4.6913999999999998</v>
      </c>
      <c r="G630" s="11">
        <v>14.75</v>
      </c>
      <c r="H630" s="11">
        <v>1</v>
      </c>
      <c r="I630" s="11">
        <v>5.7435</v>
      </c>
      <c r="J630" s="11">
        <v>16.093900000000001</v>
      </c>
      <c r="K630" s="11">
        <v>0.59</v>
      </c>
      <c r="L630" s="15">
        <f t="shared" si="9"/>
        <v>2.4583333333333335</v>
      </c>
      <c r="M630" s="14">
        <f>IF(Tabla15[[#This Row],[COMBUSTIBLE]]="PETRÓLEO",L630*$Q$2,L630*$Q$4)</f>
        <v>2952.4583333333335</v>
      </c>
      <c r="N630" s="12" t="str">
        <f>IF(OR(WEEKDAY(Tabla15[[#This Row],[Fecha]],2)=6,WEEKDAY(Tabla15[[#This Row],[Fecha]],2)=7),"Fin de semana","Semana")</f>
        <v>Semana</v>
      </c>
    </row>
    <row r="631" spans="1:14" ht="12.75" customHeight="1" x14ac:dyDescent="0.25">
      <c r="A631" s="11" t="str">
        <f>_xlfn.XLOOKUP(Tabla15[[#This Row],[GPS]],Hoja3!A:A,Hoja3!B:B)</f>
        <v>TRACTOR</v>
      </c>
      <c r="B631" s="11" t="str">
        <f>_xlfn.XLOOKUP(GPS!D631,Hoja3!A:A,Hoja3!D:D)</f>
        <v>PETRÓLEO</v>
      </c>
      <c r="C631" s="12" t="str">
        <f>_xlfn.XLOOKUP(Tabla15[[#This Row],[GPS]],Hoja3!A:A,Hoja3!C:C)</f>
        <v>T11</v>
      </c>
      <c r="D631" s="12" t="s">
        <v>15</v>
      </c>
      <c r="E631" s="13">
        <v>46160</v>
      </c>
      <c r="F631" s="11">
        <v>4.4852999999999996</v>
      </c>
      <c r="G631" s="11">
        <v>19.2</v>
      </c>
      <c r="H631" s="11">
        <v>1</v>
      </c>
      <c r="I631" s="11">
        <v>6.1818999999999997</v>
      </c>
      <c r="J631" s="11">
        <v>67.264600000000002</v>
      </c>
      <c r="K631" s="11">
        <v>0.56000000000000005</v>
      </c>
      <c r="L631" s="15">
        <f t="shared" si="9"/>
        <v>3.1999999999999997</v>
      </c>
      <c r="M631" s="14">
        <f>IF(Tabla15[[#This Row],[COMBUSTIBLE]]="PETRÓLEO",L631*$Q$2,L631*$Q$4)</f>
        <v>3843.2</v>
      </c>
      <c r="N631" s="12" t="str">
        <f>IF(OR(WEEKDAY(Tabla15[[#This Row],[Fecha]],2)=6,WEEKDAY(Tabla15[[#This Row],[Fecha]],2)=7),"Fin de semana","Semana")</f>
        <v>Semana</v>
      </c>
    </row>
    <row r="632" spans="1:14" ht="12.75" customHeight="1" x14ac:dyDescent="0.25">
      <c r="A632" s="11" t="str">
        <f>_xlfn.XLOOKUP(Tabla15[[#This Row],[GPS]],Hoja3!A:A,Hoja3!B:B)</f>
        <v>CAMIONETA</v>
      </c>
      <c r="B632" s="11" t="str">
        <f>_xlfn.XLOOKUP(GPS!D632,Hoja3!A:A,Hoja3!D:D)</f>
        <v>PETRÓLEO</v>
      </c>
      <c r="C632" s="12" t="str">
        <f>_xlfn.XLOOKUP(Tabla15[[#This Row],[GPS]],Hoja3!A:A,Hoja3!C:C)</f>
        <v>CAMPO CERRILLOS</v>
      </c>
      <c r="D632" s="12" t="s">
        <v>121</v>
      </c>
      <c r="E632" s="13">
        <v>46157</v>
      </c>
      <c r="F632" s="11">
        <v>4.2260999999999997</v>
      </c>
      <c r="G632" s="11">
        <v>16.559999999999999</v>
      </c>
      <c r="H632" s="11">
        <v>1</v>
      </c>
      <c r="I632" s="11">
        <v>14.987399999999999</v>
      </c>
      <c r="J632" s="11">
        <v>39.299399999999999</v>
      </c>
      <c r="K632" s="11">
        <v>0.53</v>
      </c>
      <c r="L632" s="15">
        <f t="shared" si="9"/>
        <v>1.8399999999999999</v>
      </c>
      <c r="M632" s="14">
        <f>IF(Tabla15[[#This Row],[COMBUSTIBLE]]="PETRÓLEO",L632*$Q$2,L632*$Q$4)</f>
        <v>2209.8399999999997</v>
      </c>
      <c r="N632" s="12" t="str">
        <f>IF(OR(WEEKDAY(Tabla15[[#This Row],[Fecha]],2)=6,WEEKDAY(Tabla15[[#This Row],[Fecha]],2)=7),"Fin de semana","Semana")</f>
        <v>Semana</v>
      </c>
    </row>
    <row r="633" spans="1:14" ht="12.75" customHeight="1" x14ac:dyDescent="0.25">
      <c r="A633" s="11" t="str">
        <f>_xlfn.XLOOKUP(Tabla15[[#This Row],[GPS]],Hoja3!A:A,Hoja3!B:B)</f>
        <v>CAMIONETA</v>
      </c>
      <c r="B633" s="11" t="str">
        <f>_xlfn.XLOOKUP(GPS!D633,Hoja3!A:A,Hoja3!D:D)</f>
        <v>PETRÓLEO</v>
      </c>
      <c r="C633" s="12" t="str">
        <f>_xlfn.XLOOKUP(Tabla15[[#This Row],[GPS]],Hoja3!A:A,Hoja3!C:C)</f>
        <v>RODRIGO SALINAS</v>
      </c>
      <c r="D633" s="12" t="s">
        <v>109</v>
      </c>
      <c r="E633" s="13">
        <v>46157</v>
      </c>
      <c r="F633" s="11">
        <v>3.9018999999999999</v>
      </c>
      <c r="G633" s="11">
        <v>178.82</v>
      </c>
      <c r="H633" s="11">
        <v>1</v>
      </c>
      <c r="I633" s="11">
        <v>44.338700000000003</v>
      </c>
      <c r="J633" s="11">
        <v>197.60839999999999</v>
      </c>
      <c r="K633" s="11">
        <v>0.49</v>
      </c>
      <c r="L633" s="15">
        <f t="shared" si="9"/>
        <v>19.86888888888889</v>
      </c>
      <c r="M633" s="14">
        <f>IF(Tabla15[[#This Row],[COMBUSTIBLE]]="PETRÓLEO",L633*$Q$2,L633*$Q$4)</f>
        <v>23862.535555555558</v>
      </c>
      <c r="N633" s="12" t="str">
        <f>IF(OR(WEEKDAY(Tabla15[[#This Row],[Fecha]],2)=6,WEEKDAY(Tabla15[[#This Row],[Fecha]],2)=7),"Fin de semana","Semana")</f>
        <v>Semana</v>
      </c>
    </row>
    <row r="634" spans="1:14" ht="12.75" customHeight="1" x14ac:dyDescent="0.25">
      <c r="A634" s="11" t="str">
        <f>_xlfn.XLOOKUP(Tabla15[[#This Row],[GPS]],Hoja3!A:A,Hoja3!B:B)</f>
        <v>CAMIONETA</v>
      </c>
      <c r="B634" s="11" t="str">
        <f>_xlfn.XLOOKUP(GPS!D634,Hoja3!A:A,Hoja3!D:D)</f>
        <v>PETRÓLEO</v>
      </c>
      <c r="C634" s="12" t="str">
        <f>_xlfn.XLOOKUP(Tabla15[[#This Row],[GPS]],Hoja3!A:A,Hoja3!C:C)</f>
        <v>CAMPO RULO</v>
      </c>
      <c r="D634" s="12" t="s">
        <v>135</v>
      </c>
      <c r="E634" s="13">
        <v>46160</v>
      </c>
      <c r="F634" s="11">
        <v>3.6675</v>
      </c>
      <c r="G634" s="11">
        <v>51.7</v>
      </c>
      <c r="H634" s="11">
        <v>1</v>
      </c>
      <c r="I634" s="11">
        <v>21.848400000000002</v>
      </c>
      <c r="J634" s="11">
        <v>103.7861</v>
      </c>
      <c r="K634" s="11">
        <v>0.46</v>
      </c>
      <c r="L634" s="15">
        <f t="shared" si="9"/>
        <v>5.7444444444444445</v>
      </c>
      <c r="M634" s="14">
        <f>IF(Tabla15[[#This Row],[COMBUSTIBLE]]="PETRÓLEO",L634*$Q$2,L634*$Q$4)</f>
        <v>6899.0777777777776</v>
      </c>
      <c r="N634" s="12" t="str">
        <f>IF(OR(WEEKDAY(Tabla15[[#This Row],[Fecha]],2)=6,WEEKDAY(Tabla15[[#This Row],[Fecha]],2)=7),"Fin de semana","Semana")</f>
        <v>Semana</v>
      </c>
    </row>
    <row r="635" spans="1:14" ht="12.75" customHeight="1" x14ac:dyDescent="0.25">
      <c r="A635" s="11" t="str">
        <f>_xlfn.XLOOKUP(Tabla15[[#This Row],[GPS]],Hoja3!A:A,Hoja3!B:B)</f>
        <v>CAMIONETA</v>
      </c>
      <c r="B635" s="11" t="str">
        <f>_xlfn.XLOOKUP(GPS!D635,Hoja3!A:A,Hoja3!D:D)</f>
        <v>PETRÓLEO</v>
      </c>
      <c r="C635" s="12" t="str">
        <f>_xlfn.XLOOKUP(Tabla15[[#This Row],[GPS]],Hoja3!A:A,Hoja3!C:C)</f>
        <v>CAMPO CERRILLOS</v>
      </c>
      <c r="D635" s="12" t="s">
        <v>121</v>
      </c>
      <c r="E635" s="13">
        <v>46160</v>
      </c>
      <c r="F635" s="11">
        <v>3.5771999999999999</v>
      </c>
      <c r="G635" s="11">
        <v>153.46</v>
      </c>
      <c r="H635" s="11">
        <v>1</v>
      </c>
      <c r="I635" s="11">
        <v>40.206699999999998</v>
      </c>
      <c r="J635" s="11">
        <v>158.64230000000001</v>
      </c>
      <c r="K635" s="11">
        <v>0.45</v>
      </c>
      <c r="L635" s="15">
        <f t="shared" si="9"/>
        <v>17.051111111111112</v>
      </c>
      <c r="M635" s="14">
        <f>IF(Tabla15[[#This Row],[COMBUSTIBLE]]="PETRÓLEO",L635*$Q$2,L635*$Q$4)</f>
        <v>20478.384444444444</v>
      </c>
      <c r="N635" s="12" t="str">
        <f>IF(OR(WEEKDAY(Tabla15[[#This Row],[Fecha]],2)=6,WEEKDAY(Tabla15[[#This Row],[Fecha]],2)=7),"Fin de semana","Semana")</f>
        <v>Semana</v>
      </c>
    </row>
    <row r="636" spans="1:14" ht="12.75" customHeight="1" x14ac:dyDescent="0.25">
      <c r="A636" s="11" t="str">
        <f>_xlfn.XLOOKUP(Tabla15[[#This Row],[GPS]],Hoja3!A:A,Hoja3!B:B)</f>
        <v>TRACTOR</v>
      </c>
      <c r="B636" s="11" t="str">
        <f>_xlfn.XLOOKUP(GPS!D636,Hoja3!A:A,Hoja3!D:D)</f>
        <v>PETRÓLEO</v>
      </c>
      <c r="C636" s="12" t="str">
        <f>_xlfn.XLOOKUP(Tabla15[[#This Row],[GPS]],Hoja3!A:A,Hoja3!C:C)</f>
        <v>T7</v>
      </c>
      <c r="D636" s="12" t="s">
        <v>26</v>
      </c>
      <c r="E636" s="13">
        <v>46160</v>
      </c>
      <c r="F636" s="11">
        <v>3.2850000000000001</v>
      </c>
      <c r="G636" s="11">
        <v>18.32</v>
      </c>
      <c r="H636" s="11">
        <v>1</v>
      </c>
      <c r="I636" s="11">
        <v>7.3864000000000001</v>
      </c>
      <c r="J636" s="11">
        <v>26.9999</v>
      </c>
      <c r="K636" s="11">
        <v>0.41</v>
      </c>
      <c r="L636" s="15">
        <f t="shared" si="9"/>
        <v>3.0533333333333332</v>
      </c>
      <c r="M636" s="14">
        <f>IF(Tabla15[[#This Row],[COMBUSTIBLE]]="PETRÓLEO",L636*$Q$2,L636*$Q$4)</f>
        <v>3667.0533333333333</v>
      </c>
      <c r="N636" s="12" t="str">
        <f>IF(OR(WEEKDAY(Tabla15[[#This Row],[Fecha]],2)=6,WEEKDAY(Tabla15[[#This Row],[Fecha]],2)=7),"Fin de semana","Semana")</f>
        <v>Semana</v>
      </c>
    </row>
    <row r="637" spans="1:14" ht="12.75" customHeight="1" x14ac:dyDescent="0.25">
      <c r="A637" s="11" t="str">
        <f>_xlfn.XLOOKUP(Tabla15[[#This Row],[GPS]],Hoja3!A:A,Hoja3!B:B)</f>
        <v>CAMIONETA</v>
      </c>
      <c r="B637" s="11" t="str">
        <f>_xlfn.XLOOKUP(GPS!D637,Hoja3!A:A,Hoja3!D:D)</f>
        <v>PETRÓLEO</v>
      </c>
      <c r="C637" s="12" t="str">
        <f>_xlfn.XLOOKUP(Tabla15[[#This Row],[GPS]],Hoja3!A:A,Hoja3!C:C)</f>
        <v>GONZALO GUERRERO</v>
      </c>
      <c r="D637" s="12" t="s">
        <v>126</v>
      </c>
      <c r="E637" s="13">
        <v>46160</v>
      </c>
      <c r="F637" s="11">
        <v>3.1989000000000001</v>
      </c>
      <c r="G637" s="11">
        <v>82.58</v>
      </c>
      <c r="H637" s="11">
        <v>1</v>
      </c>
      <c r="I637" s="11">
        <v>31.9161</v>
      </c>
      <c r="J637" s="11">
        <v>108.0001</v>
      </c>
      <c r="K637" s="11">
        <v>0.4</v>
      </c>
      <c r="L637" s="15">
        <f t="shared" si="9"/>
        <v>9.1755555555555546</v>
      </c>
      <c r="M637" s="14">
        <f>IF(Tabla15[[#This Row],[COMBUSTIBLE]]="PETRÓLEO",L637*$Q$2,L637*$Q$4)</f>
        <v>11019.842222222222</v>
      </c>
      <c r="N637" s="12" t="str">
        <f>IF(OR(WEEKDAY(Tabla15[[#This Row],[Fecha]],2)=6,WEEKDAY(Tabla15[[#This Row],[Fecha]],2)=7),"Fin de semana","Semana")</f>
        <v>Semana</v>
      </c>
    </row>
    <row r="638" spans="1:14" ht="12.75" customHeight="1" x14ac:dyDescent="0.25">
      <c r="A638" s="11" t="str">
        <f>_xlfn.XLOOKUP(Tabla15[[#This Row],[GPS]],Hoja3!A:A,Hoja3!B:B)</f>
        <v>CAMIONETA</v>
      </c>
      <c r="B638" s="11" t="str">
        <f>_xlfn.XLOOKUP(GPS!D638,Hoja3!A:A,Hoja3!D:D)</f>
        <v>PETRÓLEO</v>
      </c>
      <c r="C638" s="12" t="str">
        <f>_xlfn.XLOOKUP(Tabla15[[#This Row],[GPS]],Hoja3!A:A,Hoja3!C:C)</f>
        <v>CAMPO PAINE</v>
      </c>
      <c r="D638" s="12" t="s">
        <v>131</v>
      </c>
      <c r="E638" s="13">
        <v>46157</v>
      </c>
      <c r="F638" s="11">
        <v>3.1002999999999998</v>
      </c>
      <c r="G638" s="11">
        <v>42.23</v>
      </c>
      <c r="H638" s="11">
        <v>1</v>
      </c>
      <c r="I638" s="11">
        <v>21.505700000000001</v>
      </c>
      <c r="J638" s="11">
        <v>106</v>
      </c>
      <c r="K638" s="11">
        <v>0.39</v>
      </c>
      <c r="L638" s="15">
        <f t="shared" si="9"/>
        <v>4.6922222222222221</v>
      </c>
      <c r="M638" s="14">
        <f>IF(Tabla15[[#This Row],[COMBUSTIBLE]]="PETRÓLEO",L638*$Q$2,L638*$Q$4)</f>
        <v>5635.3588888888889</v>
      </c>
      <c r="N638" s="12" t="str">
        <f>IF(OR(WEEKDAY(Tabla15[[#This Row],[Fecha]],2)=6,WEEKDAY(Tabla15[[#This Row],[Fecha]],2)=7),"Fin de semana","Semana")</f>
        <v>Semana</v>
      </c>
    </row>
    <row r="639" spans="1:14" ht="12.75" customHeight="1" x14ac:dyDescent="0.25">
      <c r="A639" s="11" t="str">
        <f>_xlfn.XLOOKUP(Tabla15[[#This Row],[GPS]],Hoja3!A:A,Hoja3!B:B)</f>
        <v>TRACTOR</v>
      </c>
      <c r="B639" s="11" t="str">
        <f>_xlfn.XLOOKUP(GPS!D639,Hoja3!A:A,Hoja3!D:D)</f>
        <v>PETRÓLEO</v>
      </c>
      <c r="C639" s="12" t="str">
        <f>_xlfn.XLOOKUP(Tabla15[[#This Row],[GPS]],Hoja3!A:A,Hoja3!C:C)</f>
        <v>T8</v>
      </c>
      <c r="D639" s="12" t="s">
        <v>27</v>
      </c>
      <c r="E639" s="13">
        <v>46160</v>
      </c>
      <c r="F639" s="11">
        <v>3.0356000000000001</v>
      </c>
      <c r="G639" s="11">
        <v>7.54</v>
      </c>
      <c r="H639" s="11">
        <v>1</v>
      </c>
      <c r="I639" s="11">
        <v>5.0666000000000002</v>
      </c>
      <c r="J639" s="11">
        <v>22.0001</v>
      </c>
      <c r="K639" s="11">
        <v>0.38</v>
      </c>
      <c r="L639" s="15">
        <f t="shared" si="9"/>
        <v>1.2566666666666666</v>
      </c>
      <c r="M639" s="14">
        <f>IF(Tabla15[[#This Row],[COMBUSTIBLE]]="PETRÓLEO",L639*$Q$2,L639*$Q$4)</f>
        <v>1509.2566666666667</v>
      </c>
      <c r="N639" s="12" t="str">
        <f>IF(OR(WEEKDAY(Tabla15[[#This Row],[Fecha]],2)=6,WEEKDAY(Tabla15[[#This Row],[Fecha]],2)=7),"Fin de semana","Semana")</f>
        <v>Semana</v>
      </c>
    </row>
    <row r="640" spans="1:14" ht="12.75" customHeight="1" x14ac:dyDescent="0.25">
      <c r="A640" s="11" t="str">
        <f>_xlfn.XLOOKUP(Tabla15[[#This Row],[GPS]],Hoja3!A:A,Hoja3!B:B)</f>
        <v>CAMIONETA</v>
      </c>
      <c r="B640" s="11" t="str">
        <f>_xlfn.XLOOKUP(GPS!D640,Hoja3!A:A,Hoja3!D:D)</f>
        <v>PETRÓLEO</v>
      </c>
      <c r="C640" s="12" t="str">
        <f>_xlfn.XLOOKUP(Tabla15[[#This Row],[GPS]],Hoja3!A:A,Hoja3!C:C)</f>
        <v>GONZALO GUERRERO</v>
      </c>
      <c r="D640" s="12" t="s">
        <v>126</v>
      </c>
      <c r="E640" s="13">
        <v>46157</v>
      </c>
      <c r="F640" s="11">
        <v>2.4517000000000002</v>
      </c>
      <c r="G640" s="11">
        <v>55.85</v>
      </c>
      <c r="H640" s="11">
        <v>1</v>
      </c>
      <c r="I640" s="11">
        <v>29.046199999999999</v>
      </c>
      <c r="J640" s="11">
        <v>105.0001</v>
      </c>
      <c r="K640" s="11">
        <v>0.31</v>
      </c>
      <c r="L640" s="15">
        <f t="shared" si="9"/>
        <v>6.2055555555555557</v>
      </c>
      <c r="M640" s="14">
        <f>IF(Tabla15[[#This Row],[COMBUSTIBLE]]="PETRÓLEO",L640*$Q$2,L640*$Q$4)</f>
        <v>7452.8722222222223</v>
      </c>
      <c r="N640" s="12" t="str">
        <f>IF(OR(WEEKDAY(Tabla15[[#This Row],[Fecha]],2)=6,WEEKDAY(Tabla15[[#This Row],[Fecha]],2)=7),"Fin de semana","Semana")</f>
        <v>Semana</v>
      </c>
    </row>
    <row r="641" spans="1:14" ht="12.75" customHeight="1" x14ac:dyDescent="0.25">
      <c r="A641" s="11" t="str">
        <f>_xlfn.XLOOKUP(Tabla15[[#This Row],[GPS]],Hoja3!A:A,Hoja3!B:B)</f>
        <v>CAMIONETA</v>
      </c>
      <c r="B641" s="11" t="str">
        <f>_xlfn.XLOOKUP(GPS!D641,Hoja3!A:A,Hoja3!D:D)</f>
        <v>PETRÓLEO</v>
      </c>
      <c r="C641" s="12" t="str">
        <f>_xlfn.XLOOKUP(Tabla15[[#This Row],[GPS]],Hoja3!A:A,Hoja3!C:C)</f>
        <v>CAMPO PAINE</v>
      </c>
      <c r="D641" s="12" t="s">
        <v>131</v>
      </c>
      <c r="E641" s="13">
        <v>46160</v>
      </c>
      <c r="F641" s="11">
        <v>2.3814000000000002</v>
      </c>
      <c r="G641" s="11">
        <v>58.52</v>
      </c>
      <c r="H641" s="11">
        <v>1</v>
      </c>
      <c r="I641" s="11">
        <v>29.912600000000001</v>
      </c>
      <c r="J641" s="11">
        <v>127</v>
      </c>
      <c r="K641" s="11">
        <v>0.3</v>
      </c>
      <c r="L641" s="15">
        <f t="shared" si="9"/>
        <v>6.5022222222222226</v>
      </c>
      <c r="M641" s="14">
        <f>IF(Tabla15[[#This Row],[COMBUSTIBLE]]="PETRÓLEO",L641*$Q$2,L641*$Q$4)</f>
        <v>7809.1688888888893</v>
      </c>
      <c r="N641" s="12" t="str">
        <f>IF(OR(WEEKDAY(Tabla15[[#This Row],[Fecha]],2)=6,WEEKDAY(Tabla15[[#This Row],[Fecha]],2)=7),"Fin de semana","Semana")</f>
        <v>Semana</v>
      </c>
    </row>
    <row r="642" spans="1:14" ht="12.75" customHeight="1" x14ac:dyDescent="0.25">
      <c r="A642" s="11" t="str">
        <f>_xlfn.XLOOKUP(Tabla15[[#This Row],[GPS]],Hoja3!A:A,Hoja3!B:B)</f>
        <v>TRACTOR</v>
      </c>
      <c r="B642" s="11" t="str">
        <f>_xlfn.XLOOKUP(GPS!D642,Hoja3!A:A,Hoja3!D:D)</f>
        <v>PETRÓLEO</v>
      </c>
      <c r="C642" s="12" t="str">
        <f>_xlfn.XLOOKUP(Tabla15[[#This Row],[GPS]],Hoja3!A:A,Hoja3!C:C)</f>
        <v>T8</v>
      </c>
      <c r="D642" s="12" t="s">
        <v>27</v>
      </c>
      <c r="E642" s="13">
        <v>46157</v>
      </c>
      <c r="F642" s="11">
        <v>2.3424999999999998</v>
      </c>
      <c r="G642" s="11">
        <v>12.85</v>
      </c>
      <c r="H642" s="11">
        <v>1</v>
      </c>
      <c r="I642" s="11">
        <v>8.4842999999999993</v>
      </c>
      <c r="J642" s="11">
        <v>34.947200000000002</v>
      </c>
      <c r="K642" s="11">
        <v>0.28999999999999998</v>
      </c>
      <c r="L642" s="15">
        <f t="shared" ref="L642:L705" si="10">IF(AND(A642="CAMIONETA",B642="BENCINA"),G642/$Q$5,IF(A642="TRACTOR",G642/$Q$3,G642/$Q$1))</f>
        <v>2.1416666666666666</v>
      </c>
      <c r="M642" s="14">
        <f>IF(Tabla15[[#This Row],[COMBUSTIBLE]]="PETRÓLEO",L642*$Q$2,L642*$Q$4)</f>
        <v>2572.1416666666664</v>
      </c>
      <c r="N642" s="12" t="str">
        <f>IF(OR(WEEKDAY(Tabla15[[#This Row],[Fecha]],2)=6,WEEKDAY(Tabla15[[#This Row],[Fecha]],2)=7),"Fin de semana","Semana")</f>
        <v>Semana</v>
      </c>
    </row>
    <row r="643" spans="1:14" ht="12.75" customHeight="1" x14ac:dyDescent="0.25">
      <c r="A643" s="11" t="str">
        <f>_xlfn.XLOOKUP(Tabla15[[#This Row],[GPS]],Hoja3!A:A,Hoja3!B:B)</f>
        <v>CAMIONETA</v>
      </c>
      <c r="B643" s="11" t="str">
        <f>_xlfn.XLOOKUP(GPS!D643,Hoja3!A:A,Hoja3!D:D)</f>
        <v>PETRÓLEO</v>
      </c>
      <c r="C643" s="12" t="str">
        <f>_xlfn.XLOOKUP(Tabla15[[#This Row],[GPS]],Hoja3!A:A,Hoja3!C:C)</f>
        <v>CAMPO RULO</v>
      </c>
      <c r="D643" s="12" t="s">
        <v>135</v>
      </c>
      <c r="E643" s="13">
        <v>46157</v>
      </c>
      <c r="F643" s="11">
        <v>2.2250000000000001</v>
      </c>
      <c r="G643" s="11">
        <v>40.07</v>
      </c>
      <c r="H643" s="11">
        <v>1</v>
      </c>
      <c r="I643" s="11">
        <v>23.352900000000002</v>
      </c>
      <c r="J643" s="11">
        <v>87.000100000000003</v>
      </c>
      <c r="K643" s="11">
        <v>0.28000000000000003</v>
      </c>
      <c r="L643" s="15">
        <f t="shared" si="10"/>
        <v>4.4522222222222219</v>
      </c>
      <c r="M643" s="14">
        <f>IF(Tabla15[[#This Row],[COMBUSTIBLE]]="PETRÓLEO",L643*$Q$2,L643*$Q$4)</f>
        <v>5347.1188888888883</v>
      </c>
      <c r="N643" s="12" t="str">
        <f>IF(OR(WEEKDAY(Tabla15[[#This Row],[Fecha]],2)=6,WEEKDAY(Tabla15[[#This Row],[Fecha]],2)=7),"Fin de semana","Semana")</f>
        <v>Semana</v>
      </c>
    </row>
    <row r="644" spans="1:14" ht="12.75" customHeight="1" x14ac:dyDescent="0.25">
      <c r="A644" s="11" t="str">
        <f>_xlfn.XLOOKUP(Tabla15[[#This Row],[GPS]],Hoja3!A:A,Hoja3!B:B)</f>
        <v>TRACTOR</v>
      </c>
      <c r="B644" s="11" t="str">
        <f>_xlfn.XLOOKUP(GPS!D644,Hoja3!A:A,Hoja3!D:D)</f>
        <v>PETRÓLEO</v>
      </c>
      <c r="C644" s="12" t="str">
        <f>_xlfn.XLOOKUP(Tabla15[[#This Row],[GPS]],Hoja3!A:A,Hoja3!C:C)</f>
        <v>T6</v>
      </c>
      <c r="D644" s="12" t="s">
        <v>25</v>
      </c>
      <c r="E644" s="13">
        <v>46158</v>
      </c>
      <c r="F644" s="11">
        <v>2.0388999999999999</v>
      </c>
      <c r="G644" s="11">
        <v>8.39</v>
      </c>
      <c r="H644" s="11">
        <v>1</v>
      </c>
      <c r="I644" s="11">
        <v>6.53</v>
      </c>
      <c r="J644" s="11">
        <v>26</v>
      </c>
      <c r="K644" s="11">
        <v>0.25</v>
      </c>
      <c r="L644" s="15">
        <f t="shared" si="10"/>
        <v>1.3983333333333334</v>
      </c>
      <c r="M644" s="14">
        <f>IF(Tabla15[[#This Row],[COMBUSTIBLE]]="PETRÓLEO",L644*$Q$2,L644*$Q$4)</f>
        <v>1679.3983333333335</v>
      </c>
      <c r="N644" s="12" t="str">
        <f>IF(OR(WEEKDAY(Tabla15[[#This Row],[Fecha]],2)=6,WEEKDAY(Tabla15[[#This Row],[Fecha]],2)=7),"Fin de semana","Semana")</f>
        <v>Fin de semana</v>
      </c>
    </row>
    <row r="645" spans="1:14" ht="12.75" customHeight="1" x14ac:dyDescent="0.25">
      <c r="A645" s="11" t="str">
        <f>_xlfn.XLOOKUP(Tabla15[[#This Row],[GPS]],Hoja3!A:A,Hoja3!B:B)</f>
        <v>TRACTOR</v>
      </c>
      <c r="B645" s="11" t="str">
        <f>_xlfn.XLOOKUP(GPS!D645,Hoja3!A:A,Hoja3!D:D)</f>
        <v>PETRÓLEO</v>
      </c>
      <c r="C645" s="12" t="str">
        <f>_xlfn.XLOOKUP(Tabla15[[#This Row],[GPS]],Hoja3!A:A,Hoja3!C:C)</f>
        <v>T6</v>
      </c>
      <c r="D645" s="12" t="s">
        <v>25</v>
      </c>
      <c r="E645" s="13">
        <v>46160</v>
      </c>
      <c r="F645" s="11">
        <v>0.91890000000000005</v>
      </c>
      <c r="G645" s="11">
        <v>19.27</v>
      </c>
      <c r="H645" s="11">
        <v>1</v>
      </c>
      <c r="I645" s="11">
        <v>24.105899999999998</v>
      </c>
      <c r="J645" s="11">
        <v>36.000100000000003</v>
      </c>
      <c r="K645" s="11">
        <v>0.11</v>
      </c>
      <c r="L645" s="15">
        <f t="shared" si="10"/>
        <v>3.2116666666666664</v>
      </c>
      <c r="M645" s="14">
        <f>IF(Tabla15[[#This Row],[COMBUSTIBLE]]="PETRÓLEO",L645*$Q$2,L645*$Q$4)</f>
        <v>3857.2116666666666</v>
      </c>
      <c r="N645" s="12" t="str">
        <f>IF(OR(WEEKDAY(Tabla15[[#This Row],[Fecha]],2)=6,WEEKDAY(Tabla15[[#This Row],[Fecha]],2)=7),"Fin de semana","Semana")</f>
        <v>Semana</v>
      </c>
    </row>
    <row r="646" spans="1:14" ht="12.75" customHeight="1" x14ac:dyDescent="0.25">
      <c r="A646" s="11" t="str">
        <f>_xlfn.XLOOKUP(Tabla15[[#This Row],[GPS]],Hoja3!A:A,Hoja3!B:B)</f>
        <v>TRACTOR</v>
      </c>
      <c r="B646" s="11" t="str">
        <f>_xlfn.XLOOKUP(GPS!D646,Hoja3!A:A,Hoja3!D:D)</f>
        <v>PETRÓLEO</v>
      </c>
      <c r="C646" s="12" t="str">
        <f>_xlfn.XLOOKUP(Tabla15[[#This Row],[GPS]],Hoja3!A:A,Hoja3!C:C)</f>
        <v>T13</v>
      </c>
      <c r="D646" s="12" t="s">
        <v>19</v>
      </c>
      <c r="E646" s="13">
        <v>46157</v>
      </c>
      <c r="F646" s="11">
        <v>0.77859999999999996</v>
      </c>
      <c r="G646" s="11">
        <v>3.51</v>
      </c>
      <c r="H646" s="11">
        <v>1</v>
      </c>
      <c r="I646" s="11">
        <v>6.5984999999999996</v>
      </c>
      <c r="J646" s="11">
        <v>16.056799999999999</v>
      </c>
      <c r="K646" s="11">
        <v>0.1</v>
      </c>
      <c r="L646" s="15">
        <f t="shared" si="10"/>
        <v>0.58499999999999996</v>
      </c>
      <c r="M646" s="14">
        <f>IF(Tabla15[[#This Row],[COMBUSTIBLE]]="PETRÓLEO",L646*$Q$2,L646*$Q$4)</f>
        <v>702.58499999999992</v>
      </c>
      <c r="N646" s="12" t="str">
        <f>IF(OR(WEEKDAY(Tabla15[[#This Row],[Fecha]],2)=6,WEEKDAY(Tabla15[[#This Row],[Fecha]],2)=7),"Fin de semana","Semana")</f>
        <v>Semana</v>
      </c>
    </row>
    <row r="647" spans="1:14" ht="12.75" customHeight="1" x14ac:dyDescent="0.25">
      <c r="A647" s="11" t="str">
        <f>_xlfn.XLOOKUP(Tabla15[[#This Row],[GPS]],Hoja3!A:A,Hoja3!B:B)</f>
        <v>CAMIONETA</v>
      </c>
      <c r="B647" s="11" t="str">
        <f>_xlfn.XLOOKUP(GPS!D647,Hoja3!A:A,Hoja3!D:D)</f>
        <v>PETRÓLEO</v>
      </c>
      <c r="C647" s="12" t="str">
        <f>_xlfn.XLOOKUP(Tabla15[[#This Row],[GPS]],Hoja3!A:A,Hoja3!C:C)</f>
        <v>CAMPO PAINE</v>
      </c>
      <c r="D647" s="12" t="s">
        <v>131</v>
      </c>
      <c r="E647" s="13">
        <v>46158</v>
      </c>
      <c r="F647" s="11">
        <v>0.62829999999999997</v>
      </c>
      <c r="G647" s="11">
        <v>14.53</v>
      </c>
      <c r="H647" s="11">
        <v>1</v>
      </c>
      <c r="I647" s="11">
        <v>28.1614</v>
      </c>
      <c r="J647" s="11">
        <v>67.801699999999997</v>
      </c>
      <c r="K647" s="11">
        <v>0.08</v>
      </c>
      <c r="L647" s="15">
        <f t="shared" si="10"/>
        <v>1.6144444444444443</v>
      </c>
      <c r="M647" s="14">
        <f>IF(Tabla15[[#This Row],[COMBUSTIBLE]]="PETRÓLEO",L647*$Q$2,L647*$Q$4)</f>
        <v>1938.9477777777777</v>
      </c>
      <c r="N647" s="12" t="str">
        <f>IF(OR(WEEKDAY(Tabla15[[#This Row],[Fecha]],2)=6,WEEKDAY(Tabla15[[#This Row],[Fecha]],2)=7),"Fin de semana","Semana")</f>
        <v>Fin de semana</v>
      </c>
    </row>
    <row r="648" spans="1:14" ht="12.75" customHeight="1" x14ac:dyDescent="0.25">
      <c r="A648" s="11" t="str">
        <f>_xlfn.XLOOKUP(Tabla15[[#This Row],[GPS]],Hoja3!A:A,Hoja3!B:B)</f>
        <v>CAMIONETA</v>
      </c>
      <c r="B648" s="11" t="str">
        <f>_xlfn.XLOOKUP(GPS!D648,Hoja3!A:A,Hoja3!D:D)</f>
        <v>PETRÓLEO</v>
      </c>
      <c r="C648" s="12" t="str">
        <f>_xlfn.XLOOKUP(Tabla15[[#This Row],[GPS]],Hoja3!A:A,Hoja3!C:C)</f>
        <v>CAMPO PAINE</v>
      </c>
      <c r="D648" s="12" t="s">
        <v>131</v>
      </c>
      <c r="E648" s="13">
        <v>46159</v>
      </c>
      <c r="F648" s="11">
        <v>0.50939999999999996</v>
      </c>
      <c r="G648" s="11">
        <v>15.28</v>
      </c>
      <c r="H648" s="11">
        <v>1</v>
      </c>
      <c r="I648" s="11">
        <v>32.9724</v>
      </c>
      <c r="J648" s="11">
        <v>76</v>
      </c>
      <c r="K648" s="11">
        <v>0.06</v>
      </c>
      <c r="L648" s="15">
        <f t="shared" si="10"/>
        <v>1.6977777777777776</v>
      </c>
      <c r="M648" s="14">
        <f>IF(Tabla15[[#This Row],[COMBUSTIBLE]]="PETRÓLEO",L648*$Q$2,L648*$Q$4)</f>
        <v>2039.0311111111109</v>
      </c>
      <c r="N648" s="12" t="str">
        <f>IF(OR(WEEKDAY(Tabla15[[#This Row],[Fecha]],2)=6,WEEKDAY(Tabla15[[#This Row],[Fecha]],2)=7),"Fin de semana","Semana")</f>
        <v>Fin de semana</v>
      </c>
    </row>
    <row r="649" spans="1:14" ht="12.75" customHeight="1" x14ac:dyDescent="0.25">
      <c r="A649" s="11" t="str">
        <f>_xlfn.XLOOKUP(Tabla15[[#This Row],[GPS]],Hoja3!A:A,Hoja3!B:B)</f>
        <v>CAMIONETA</v>
      </c>
      <c r="B649" s="11" t="str">
        <f>_xlfn.XLOOKUP(GPS!D649,Hoja3!A:A,Hoja3!D:D)</f>
        <v>PETRÓLEO</v>
      </c>
      <c r="C649" s="12" t="str">
        <f>_xlfn.XLOOKUP(Tabla15[[#This Row],[GPS]],Hoja3!A:A,Hoja3!C:C)</f>
        <v>GONZALO GUERRERO</v>
      </c>
      <c r="D649" s="12" t="s">
        <v>126</v>
      </c>
      <c r="E649" s="13">
        <v>46159</v>
      </c>
      <c r="F649" s="11">
        <v>0.13439999999999999</v>
      </c>
      <c r="G649" s="11">
        <v>5.4</v>
      </c>
      <c r="H649" s="11">
        <v>1</v>
      </c>
      <c r="I649" s="11">
        <v>38.402200000000001</v>
      </c>
      <c r="J649" s="11">
        <v>108.0001</v>
      </c>
      <c r="K649" s="11">
        <v>0.02</v>
      </c>
      <c r="L649" s="15">
        <f t="shared" si="10"/>
        <v>0.60000000000000009</v>
      </c>
      <c r="M649" s="14">
        <f>IF(Tabla15[[#This Row],[COMBUSTIBLE]]="PETRÓLEO",L649*$Q$2,L649*$Q$4)</f>
        <v>720.60000000000014</v>
      </c>
      <c r="N649" s="12" t="str">
        <f>IF(OR(WEEKDAY(Tabla15[[#This Row],[Fecha]],2)=6,WEEKDAY(Tabla15[[#This Row],[Fecha]],2)=7),"Fin de semana","Semana")</f>
        <v>Fin de semana</v>
      </c>
    </row>
    <row r="650" spans="1:14" ht="12.75" customHeight="1" x14ac:dyDescent="0.25">
      <c r="A650" s="11" t="str">
        <f>_xlfn.XLOOKUP(Tabla15[[#This Row],[GPS]],Hoja3!A:A,Hoja3!B:B)</f>
        <v>CAMIONETA</v>
      </c>
      <c r="B650" s="11" t="str">
        <f>_xlfn.XLOOKUP(GPS!D650,Hoja3!A:A,Hoja3!D:D)</f>
        <v>PETRÓLEO</v>
      </c>
      <c r="C650" s="12" t="str">
        <f>_xlfn.XLOOKUP(Tabla15[[#This Row],[GPS]],Hoja3!A:A,Hoja3!C:C)</f>
        <v>GONZALO GUERRERO</v>
      </c>
      <c r="D650" s="12" t="s">
        <v>126</v>
      </c>
      <c r="E650" s="13">
        <v>46158</v>
      </c>
      <c r="F650" s="11">
        <v>9.9199999999999997E-2</v>
      </c>
      <c r="G650" s="11">
        <v>0.86</v>
      </c>
      <c r="H650" s="11">
        <v>0</v>
      </c>
      <c r="I650" s="11">
        <v>16.410799999999998</v>
      </c>
      <c r="J650" s="11">
        <v>47.000100000000003</v>
      </c>
      <c r="K650" s="11">
        <v>0.01</v>
      </c>
      <c r="L650" s="15">
        <f t="shared" si="10"/>
        <v>9.555555555555556E-2</v>
      </c>
      <c r="M650" s="14">
        <f>IF(Tabla15[[#This Row],[COMBUSTIBLE]]="PETRÓLEO",L650*$Q$2,L650*$Q$4)</f>
        <v>114.76222222222223</v>
      </c>
      <c r="N650" s="12" t="str">
        <f>IF(OR(WEEKDAY(Tabla15[[#This Row],[Fecha]],2)=6,WEEKDAY(Tabla15[[#This Row],[Fecha]],2)=7),"Fin de semana","Semana")</f>
        <v>Fin de semana</v>
      </c>
    </row>
    <row r="651" spans="1:14" ht="12.75" customHeight="1" x14ac:dyDescent="0.25">
      <c r="A651" s="11" t="str">
        <f>_xlfn.XLOOKUP(Tabla15[[#This Row],[GPS]],Hoja3!A:A,Hoja3!B:B)</f>
        <v>TRACTOR</v>
      </c>
      <c r="B651" s="11" t="str">
        <f>_xlfn.XLOOKUP(GPS!D651,Hoja3!A:A,Hoja3!D:D)</f>
        <v>PETRÓLEO</v>
      </c>
      <c r="C651" s="12" t="str">
        <f>_xlfn.XLOOKUP(Tabla15[[#This Row],[GPS]],Hoja3!A:A,Hoja3!C:C)</f>
        <v>T11</v>
      </c>
      <c r="D651" s="12" t="s">
        <v>15</v>
      </c>
      <c r="E651" s="13">
        <v>46157</v>
      </c>
      <c r="F651" s="11">
        <v>7.4999999999999997E-2</v>
      </c>
      <c r="G651" s="11">
        <v>0.25</v>
      </c>
      <c r="H651" s="11">
        <v>0</v>
      </c>
      <c r="I651" s="11">
        <v>4.8318000000000003</v>
      </c>
      <c r="J651" s="11">
        <v>13.2233</v>
      </c>
      <c r="K651" s="11">
        <v>0.01</v>
      </c>
      <c r="L651" s="15">
        <f t="shared" si="10"/>
        <v>4.1666666666666664E-2</v>
      </c>
      <c r="M651" s="14">
        <f>IF(Tabla15[[#This Row],[COMBUSTIBLE]]="PETRÓLEO",L651*$Q$2,L651*$Q$4)</f>
        <v>50.041666666666664</v>
      </c>
      <c r="N651" s="12" t="str">
        <f>IF(OR(WEEKDAY(Tabla15[[#This Row],[Fecha]],2)=6,WEEKDAY(Tabla15[[#This Row],[Fecha]],2)=7),"Fin de semana","Semana")</f>
        <v>Semana</v>
      </c>
    </row>
    <row r="652" spans="1:14" ht="12.75" customHeight="1" x14ac:dyDescent="0.25">
      <c r="A652" s="11" t="str">
        <f>_xlfn.XLOOKUP(Tabla15[[#This Row],[GPS]],Hoja3!A:A,Hoja3!B:B)</f>
        <v>CAMIONETA</v>
      </c>
      <c r="B652" s="11" t="str">
        <f>_xlfn.XLOOKUP(GPS!D652,Hoja3!A:A,Hoja3!D:D)</f>
        <v>PETRÓLEO</v>
      </c>
      <c r="C652" s="12" t="str">
        <f>_xlfn.XLOOKUP(Tabla15[[#This Row],[GPS]],Hoja3!A:A,Hoja3!C:C)</f>
        <v>RODRIGO SALINAS</v>
      </c>
      <c r="D652" s="12" t="s">
        <v>109</v>
      </c>
      <c r="E652" s="13">
        <v>46159</v>
      </c>
      <c r="F652" s="11">
        <v>3.7199999999999997E-2</v>
      </c>
      <c r="G652" s="11">
        <v>0</v>
      </c>
      <c r="H652" s="11">
        <v>0</v>
      </c>
      <c r="I652" s="11">
        <v>0</v>
      </c>
      <c r="J652" s="11">
        <v>0</v>
      </c>
      <c r="K652" s="11">
        <v>0</v>
      </c>
      <c r="L652" s="15">
        <f t="shared" si="10"/>
        <v>0</v>
      </c>
      <c r="M652" s="14">
        <f>IF(Tabla15[[#This Row],[COMBUSTIBLE]]="PETRÓLEO",L652*$Q$2,L652*$Q$4)</f>
        <v>0</v>
      </c>
      <c r="N652" s="12" t="str">
        <f>IF(OR(WEEKDAY(Tabla15[[#This Row],[Fecha]],2)=6,WEEKDAY(Tabla15[[#This Row],[Fecha]],2)=7),"Fin de semana","Semana")</f>
        <v>Fin de semana</v>
      </c>
    </row>
    <row r="653" spans="1:14" ht="12.75" customHeight="1" x14ac:dyDescent="0.25">
      <c r="A653" s="11" t="str">
        <f>_xlfn.XLOOKUP(Tabla15[[#This Row],[GPS]],Hoja3!A:A,Hoja3!B:B)</f>
        <v>CAMIONETA</v>
      </c>
      <c r="B653" s="11" t="str">
        <f>_xlfn.XLOOKUP(GPS!D653,Hoja3!A:A,Hoja3!D:D)</f>
        <v>BENCINA</v>
      </c>
      <c r="C653" s="12" t="str">
        <f>_xlfn.XLOOKUP(Tabla15[[#This Row],[GPS]],Hoja3!A:A,Hoja3!C:C)</f>
        <v>VG CERRILLOS</v>
      </c>
      <c r="D653" s="12" t="s">
        <v>137</v>
      </c>
      <c r="E653" s="13">
        <v>46160</v>
      </c>
      <c r="F653" s="11">
        <v>0</v>
      </c>
      <c r="G653" s="11">
        <v>45.27</v>
      </c>
      <c r="H653" s="11">
        <v>1</v>
      </c>
      <c r="I653" s="11">
        <v>18.6843</v>
      </c>
      <c r="J653" s="11">
        <v>80.487899999999996</v>
      </c>
      <c r="K653" s="11">
        <v>0</v>
      </c>
      <c r="L653" s="15">
        <f t="shared" si="10"/>
        <v>4.1154545454545461</v>
      </c>
      <c r="M653" s="14">
        <f>IF(Tabla15[[#This Row],[COMBUSTIBLE]]="PETRÓLEO",L653*$Q$2,L653*$Q$4)</f>
        <v>6378.9545454545469</v>
      </c>
      <c r="N653" s="12" t="str">
        <f>IF(OR(WEEKDAY(Tabla15[[#This Row],[Fecha]],2)=6,WEEKDAY(Tabla15[[#This Row],[Fecha]],2)=7),"Fin de semana","Semana")</f>
        <v>Semana</v>
      </c>
    </row>
    <row r="654" spans="1:14" ht="12.75" customHeight="1" x14ac:dyDescent="0.25">
      <c r="A654" s="11" t="str">
        <f>_xlfn.XLOOKUP(Tabla15[[#This Row],[GPS]],Hoja3!A:A,Hoja3!B:B)</f>
        <v>CAMIONETA</v>
      </c>
      <c r="B654" s="11" t="str">
        <f>_xlfn.XLOOKUP(GPS!D654,Hoja3!A:A,Hoja3!D:D)</f>
        <v>BENCINA</v>
      </c>
      <c r="C654" s="12" t="str">
        <f>_xlfn.XLOOKUP(Tabla15[[#This Row],[GPS]],Hoja3!A:A,Hoja3!C:C)</f>
        <v>VG GERARDO</v>
      </c>
      <c r="D654" s="12" t="s">
        <v>118</v>
      </c>
      <c r="E654" s="13">
        <v>46159</v>
      </c>
      <c r="F654" s="11">
        <v>0</v>
      </c>
      <c r="G654" s="11">
        <v>19.47</v>
      </c>
      <c r="H654" s="11">
        <v>1</v>
      </c>
      <c r="I654" s="11">
        <v>39.2821</v>
      </c>
      <c r="J654" s="11">
        <v>92.563000000000002</v>
      </c>
      <c r="K654" s="11">
        <v>0</v>
      </c>
      <c r="L654" s="15">
        <f t="shared" si="10"/>
        <v>1.7699999999999998</v>
      </c>
      <c r="M654" s="14">
        <f>IF(Tabla15[[#This Row],[COMBUSTIBLE]]="PETRÓLEO",L654*$Q$2,L654*$Q$4)</f>
        <v>2743.4999999999995</v>
      </c>
      <c r="N654" s="12" t="str">
        <f>IF(OR(WEEKDAY(Tabla15[[#This Row],[Fecha]],2)=6,WEEKDAY(Tabla15[[#This Row],[Fecha]],2)=7),"Fin de semana","Semana")</f>
        <v>Fin de semana</v>
      </c>
    </row>
    <row r="655" spans="1:14" ht="12.75" customHeight="1" x14ac:dyDescent="0.25">
      <c r="A655" s="11" t="str">
        <f>_xlfn.XLOOKUP(Tabla15[[#This Row],[GPS]],Hoja3!A:A,Hoja3!B:B)</f>
        <v>CAMIONETA</v>
      </c>
      <c r="B655" s="11" t="str">
        <f>_xlfn.XLOOKUP(GPS!D655,Hoja3!A:A,Hoja3!D:D)</f>
        <v>BENCINA</v>
      </c>
      <c r="C655" s="12" t="str">
        <f>_xlfn.XLOOKUP(Tabla15[[#This Row],[GPS]],Hoja3!A:A,Hoja3!C:C)</f>
        <v>VG PIÑALEO</v>
      </c>
      <c r="D655" s="12" t="s">
        <v>114</v>
      </c>
      <c r="E655" s="13">
        <v>46157</v>
      </c>
      <c r="F655" s="11">
        <v>0</v>
      </c>
      <c r="G655" s="11">
        <v>77.2</v>
      </c>
      <c r="H655" s="11">
        <v>1</v>
      </c>
      <c r="I655" s="11">
        <v>35.0458</v>
      </c>
      <c r="J655" s="11">
        <v>129.12139999999999</v>
      </c>
      <c r="K655" s="11">
        <v>0</v>
      </c>
      <c r="L655" s="15">
        <f t="shared" si="10"/>
        <v>7.0181818181818185</v>
      </c>
      <c r="M655" s="14">
        <f>IF(Tabla15[[#This Row],[COMBUSTIBLE]]="PETRÓLEO",L655*$Q$2,L655*$Q$4)</f>
        <v>10878.181818181818</v>
      </c>
      <c r="N655" s="12" t="str">
        <f>IF(OR(WEEKDAY(Tabla15[[#This Row],[Fecha]],2)=6,WEEKDAY(Tabla15[[#This Row],[Fecha]],2)=7),"Fin de semana","Semana")</f>
        <v>Semana</v>
      </c>
    </row>
    <row r="656" spans="1:14" ht="12.75" customHeight="1" x14ac:dyDescent="0.25">
      <c r="A656" s="11" t="str">
        <f>_xlfn.XLOOKUP(Tabla15[[#This Row],[GPS]],Hoja3!A:A,Hoja3!B:B)</f>
        <v>CAMIONETA</v>
      </c>
      <c r="B656" s="11" t="str">
        <f>_xlfn.XLOOKUP(GPS!D656,Hoja3!A:A,Hoja3!D:D)</f>
        <v>BENCINA</v>
      </c>
      <c r="C656" s="12" t="str">
        <f>_xlfn.XLOOKUP(Tabla15[[#This Row],[GPS]],Hoja3!A:A,Hoja3!C:C)</f>
        <v>VG GERARDO</v>
      </c>
      <c r="D656" s="12" t="s">
        <v>118</v>
      </c>
      <c r="E656" s="13">
        <v>46158</v>
      </c>
      <c r="F656" s="11">
        <v>0</v>
      </c>
      <c r="G656" s="11">
        <v>11.85</v>
      </c>
      <c r="H656" s="11">
        <v>1</v>
      </c>
      <c r="I656" s="11">
        <v>19.506799999999998</v>
      </c>
      <c r="J656" s="11">
        <v>68.000100000000003</v>
      </c>
      <c r="K656" s="11">
        <v>0</v>
      </c>
      <c r="L656" s="15">
        <f t="shared" si="10"/>
        <v>1.0772727272727272</v>
      </c>
      <c r="M656" s="14">
        <f>IF(Tabla15[[#This Row],[COMBUSTIBLE]]="PETRÓLEO",L656*$Q$2,L656*$Q$4)</f>
        <v>1669.772727272727</v>
      </c>
      <c r="N656" s="12" t="str">
        <f>IF(OR(WEEKDAY(Tabla15[[#This Row],[Fecha]],2)=6,WEEKDAY(Tabla15[[#This Row],[Fecha]],2)=7),"Fin de semana","Semana")</f>
        <v>Fin de semana</v>
      </c>
    </row>
    <row r="657" spans="1:14" ht="12.75" customHeight="1" x14ac:dyDescent="0.25">
      <c r="A657" s="11" t="str">
        <f>_xlfn.XLOOKUP(Tabla15[[#This Row],[GPS]],Hoja3!A:A,Hoja3!B:B)</f>
        <v>CAMIONETA</v>
      </c>
      <c r="B657" s="11" t="str">
        <f>_xlfn.XLOOKUP(GPS!D657,Hoja3!A:A,Hoja3!D:D)</f>
        <v>BENCINA</v>
      </c>
      <c r="C657" s="12" t="str">
        <f>_xlfn.XLOOKUP(Tabla15[[#This Row],[GPS]],Hoja3!A:A,Hoja3!C:C)</f>
        <v>VG PIÑALEO</v>
      </c>
      <c r="D657" s="12" t="s">
        <v>114</v>
      </c>
      <c r="E657" s="13">
        <v>46160</v>
      </c>
      <c r="F657" s="11">
        <v>0</v>
      </c>
      <c r="G657" s="11">
        <v>13.4</v>
      </c>
      <c r="H657" s="11">
        <v>1</v>
      </c>
      <c r="I657" s="11">
        <v>32.627200000000002</v>
      </c>
      <c r="J657" s="11">
        <v>90.007199999999997</v>
      </c>
      <c r="K657" s="11">
        <v>0</v>
      </c>
      <c r="L657" s="15">
        <f t="shared" si="10"/>
        <v>1.2181818181818183</v>
      </c>
      <c r="M657" s="14">
        <f>IF(Tabla15[[#This Row],[COMBUSTIBLE]]="PETRÓLEO",L657*$Q$2,L657*$Q$4)</f>
        <v>1888.1818181818182</v>
      </c>
      <c r="N657" s="12" t="str">
        <f>IF(OR(WEEKDAY(Tabla15[[#This Row],[Fecha]],2)=6,WEEKDAY(Tabla15[[#This Row],[Fecha]],2)=7),"Fin de semana","Semana")</f>
        <v>Semana</v>
      </c>
    </row>
    <row r="658" spans="1:14" ht="12.75" customHeight="1" x14ac:dyDescent="0.25">
      <c r="A658" s="11" t="str">
        <f>_xlfn.XLOOKUP(Tabla15[[#This Row],[GPS]],Hoja3!A:A,Hoja3!B:B)</f>
        <v>CAMIONETA</v>
      </c>
      <c r="B658" s="11" t="str">
        <f>_xlfn.XLOOKUP(GPS!D658,Hoja3!A:A,Hoja3!D:D)</f>
        <v>BENCINA</v>
      </c>
      <c r="C658" s="12" t="str">
        <f>_xlfn.XLOOKUP(Tabla15[[#This Row],[GPS]],Hoja3!A:A,Hoja3!C:C)</f>
        <v>VG GERARDO</v>
      </c>
      <c r="D658" s="12" t="s">
        <v>118</v>
      </c>
      <c r="E658" s="13">
        <v>46157</v>
      </c>
      <c r="F658" s="11">
        <v>0</v>
      </c>
      <c r="G658" s="11">
        <v>75.87</v>
      </c>
      <c r="H658" s="11">
        <v>1</v>
      </c>
      <c r="I658" s="11">
        <v>31.530999999999999</v>
      </c>
      <c r="J658" s="11">
        <v>100</v>
      </c>
      <c r="K658" s="11">
        <v>0</v>
      </c>
      <c r="L658" s="15">
        <f t="shared" si="10"/>
        <v>6.8972727272727274</v>
      </c>
      <c r="M658" s="14">
        <f>IF(Tabla15[[#This Row],[COMBUSTIBLE]]="PETRÓLEO",L658*$Q$2,L658*$Q$4)</f>
        <v>10690.772727272728</v>
      </c>
      <c r="N658" s="12" t="str">
        <f>IF(OR(WEEKDAY(Tabla15[[#This Row],[Fecha]],2)=6,WEEKDAY(Tabla15[[#This Row],[Fecha]],2)=7),"Fin de semana","Semana")</f>
        <v>Semana</v>
      </c>
    </row>
    <row r="659" spans="1:14" ht="12.75" customHeight="1" x14ac:dyDescent="0.25">
      <c r="A659" s="11" t="str">
        <f>_xlfn.XLOOKUP(Tabla15[[#This Row],[GPS]],Hoja3!A:A,Hoja3!B:B)</f>
        <v>CAMIONETA</v>
      </c>
      <c r="B659" s="11" t="str">
        <f>_xlfn.XLOOKUP(GPS!D659,Hoja3!A:A,Hoja3!D:D)</f>
        <v>BENCINA</v>
      </c>
      <c r="C659" s="12" t="str">
        <f>_xlfn.XLOOKUP(Tabla15[[#This Row],[GPS]],Hoja3!A:A,Hoja3!C:C)</f>
        <v>VG PIÑALEO</v>
      </c>
      <c r="D659" s="12" t="s">
        <v>114</v>
      </c>
      <c r="E659" s="13">
        <v>46158</v>
      </c>
      <c r="F659" s="11">
        <v>0</v>
      </c>
      <c r="G659" s="11">
        <v>23.83</v>
      </c>
      <c r="H659" s="11">
        <v>1</v>
      </c>
      <c r="I659" s="11">
        <v>29.506900000000002</v>
      </c>
      <c r="J659" s="11">
        <v>94.859399999999994</v>
      </c>
      <c r="K659" s="11">
        <v>0</v>
      </c>
      <c r="L659" s="15">
        <f t="shared" si="10"/>
        <v>2.166363636363636</v>
      </c>
      <c r="M659" s="14">
        <f>IF(Tabla15[[#This Row],[COMBUSTIBLE]]="PETRÓLEO",L659*$Q$2,L659*$Q$4)</f>
        <v>3357.863636363636</v>
      </c>
      <c r="N659" s="12" t="str">
        <f>IF(OR(WEEKDAY(Tabla15[[#This Row],[Fecha]],2)=6,WEEKDAY(Tabla15[[#This Row],[Fecha]],2)=7),"Fin de semana","Semana")</f>
        <v>Fin de semana</v>
      </c>
    </row>
    <row r="660" spans="1:14" ht="12.75" customHeight="1" x14ac:dyDescent="0.25">
      <c r="A660" s="11" t="str">
        <f>_xlfn.XLOOKUP(Tabla15[[#This Row],[GPS]],Hoja3!A:A,Hoja3!B:B)</f>
        <v>CAMIONETA</v>
      </c>
      <c r="B660" s="11" t="str">
        <f>_xlfn.XLOOKUP(GPS!D660,Hoja3!A:A,Hoja3!D:D)</f>
        <v>PETRÓLEO</v>
      </c>
      <c r="C660" s="12" t="str">
        <f>_xlfn.XLOOKUP(Tabla15[[#This Row],[GPS]],Hoja3!A:A,Hoja3!C:C)</f>
        <v>SERGIO ROJAS</v>
      </c>
      <c r="D660" s="12" t="s">
        <v>128</v>
      </c>
      <c r="E660" s="13">
        <v>46157</v>
      </c>
      <c r="F660" s="11">
        <v>0</v>
      </c>
      <c r="G660" s="11">
        <v>43.31</v>
      </c>
      <c r="H660" s="11">
        <v>1</v>
      </c>
      <c r="I660" s="11">
        <v>26.901599999999998</v>
      </c>
      <c r="J660" s="11">
        <v>91.000100000000003</v>
      </c>
      <c r="K660" s="11">
        <v>0</v>
      </c>
      <c r="L660" s="15">
        <f t="shared" si="10"/>
        <v>4.8122222222222222</v>
      </c>
      <c r="M660" s="14">
        <f>IF(Tabla15[[#This Row],[COMBUSTIBLE]]="PETRÓLEO",L660*$Q$2,L660*$Q$4)</f>
        <v>5779.4788888888888</v>
      </c>
      <c r="N660" s="12" t="str">
        <f>IF(OR(WEEKDAY(Tabla15[[#This Row],[Fecha]],2)=6,WEEKDAY(Tabla15[[#This Row],[Fecha]],2)=7),"Fin de semana","Semana")</f>
        <v>Semana</v>
      </c>
    </row>
    <row r="661" spans="1:14" ht="12.75" customHeight="1" x14ac:dyDescent="0.25">
      <c r="A661" s="11" t="str">
        <f>_xlfn.XLOOKUP(Tabla15[[#This Row],[GPS]],Hoja3!A:A,Hoja3!B:B)</f>
        <v>CAMIONETA</v>
      </c>
      <c r="B661" s="11" t="str">
        <f>_xlfn.XLOOKUP(GPS!D661,Hoja3!A:A,Hoja3!D:D)</f>
        <v>BENCINA</v>
      </c>
      <c r="C661" s="12" t="str">
        <f>_xlfn.XLOOKUP(Tabla15[[#This Row],[GPS]],Hoja3!A:A,Hoja3!C:C)</f>
        <v>VG CERRILLOS</v>
      </c>
      <c r="D661" s="12" t="s">
        <v>137</v>
      </c>
      <c r="E661" s="13">
        <v>46157</v>
      </c>
      <c r="F661" s="11">
        <v>0</v>
      </c>
      <c r="G661" s="11">
        <v>33.380000000000003</v>
      </c>
      <c r="H661" s="11">
        <v>1</v>
      </c>
      <c r="I661" s="11">
        <v>16.6311</v>
      </c>
      <c r="J661" s="11">
        <v>101.0001</v>
      </c>
      <c r="K661" s="11">
        <v>0</v>
      </c>
      <c r="L661" s="15">
        <f t="shared" si="10"/>
        <v>3.0345454545454547</v>
      </c>
      <c r="M661" s="14">
        <f>IF(Tabla15[[#This Row],[COMBUSTIBLE]]="PETRÓLEO",L661*$Q$2,L661*$Q$4)</f>
        <v>4703.545454545455</v>
      </c>
      <c r="N661" s="12" t="str">
        <f>IF(OR(WEEKDAY(Tabla15[[#This Row],[Fecha]],2)=6,WEEKDAY(Tabla15[[#This Row],[Fecha]],2)=7),"Fin de semana","Semana")</f>
        <v>Semana</v>
      </c>
    </row>
    <row r="662" spans="1:14" ht="12.75" customHeight="1" x14ac:dyDescent="0.25">
      <c r="A662" s="11" t="str">
        <f>_xlfn.XLOOKUP(Tabla15[[#This Row],[GPS]],Hoja3!A:A,Hoja3!B:B)</f>
        <v>CAMIONETA</v>
      </c>
      <c r="B662" s="11" t="str">
        <f>_xlfn.XLOOKUP(GPS!D662,Hoja3!A:A,Hoja3!D:D)</f>
        <v>BENCINA</v>
      </c>
      <c r="C662" s="12" t="str">
        <f>_xlfn.XLOOKUP(Tabla15[[#This Row],[GPS]],Hoja3!A:A,Hoja3!C:C)</f>
        <v>VG PIÑALEO</v>
      </c>
      <c r="D662" s="12" t="s">
        <v>114</v>
      </c>
      <c r="E662" s="13">
        <v>46159</v>
      </c>
      <c r="F662" s="11">
        <v>0</v>
      </c>
      <c r="G662" s="11">
        <v>10.74</v>
      </c>
      <c r="H662" s="11">
        <v>1</v>
      </c>
      <c r="I662" s="11">
        <v>27.2972</v>
      </c>
      <c r="J662" s="11">
        <v>72.413200000000003</v>
      </c>
      <c r="K662" s="11">
        <v>0</v>
      </c>
      <c r="L662" s="15">
        <f t="shared" si="10"/>
        <v>0.97636363636363643</v>
      </c>
      <c r="M662" s="14">
        <f>IF(Tabla15[[#This Row],[COMBUSTIBLE]]="PETRÓLEO",L662*$Q$2,L662*$Q$4)</f>
        <v>1513.3636363636365</v>
      </c>
      <c r="N662" s="12" t="str">
        <f>IF(OR(WEEKDAY(Tabla15[[#This Row],[Fecha]],2)=6,WEEKDAY(Tabla15[[#This Row],[Fecha]],2)=7),"Fin de semana","Semana")</f>
        <v>Fin de semana</v>
      </c>
    </row>
    <row r="663" spans="1:14" ht="12.75" customHeight="1" x14ac:dyDescent="0.25">
      <c r="A663" s="11" t="str">
        <f>_xlfn.XLOOKUP(Tabla15[[#This Row],[GPS]],Hoja3!A:A,Hoja3!B:B)</f>
        <v>CAMIONETA</v>
      </c>
      <c r="B663" s="11" t="str">
        <f>_xlfn.XLOOKUP(GPS!D663,Hoja3!A:A,Hoja3!D:D)</f>
        <v>BENCINA</v>
      </c>
      <c r="C663" s="12" t="str">
        <f>_xlfn.XLOOKUP(Tabla15[[#This Row],[GPS]],Hoja3!A:A,Hoja3!C:C)</f>
        <v>VG GERARDO</v>
      </c>
      <c r="D663" s="12" t="s">
        <v>118</v>
      </c>
      <c r="E663" s="13">
        <v>46160</v>
      </c>
      <c r="F663" s="11">
        <v>0</v>
      </c>
      <c r="G663" s="11">
        <v>66.069999999999993</v>
      </c>
      <c r="H663" s="11">
        <v>1</v>
      </c>
      <c r="I663" s="11">
        <v>29.149899999999999</v>
      </c>
      <c r="J663" s="11">
        <v>79</v>
      </c>
      <c r="K663" s="11">
        <v>0</v>
      </c>
      <c r="L663" s="15">
        <f t="shared" si="10"/>
        <v>6.0063636363636359</v>
      </c>
      <c r="M663" s="14">
        <f>IF(Tabla15[[#This Row],[COMBUSTIBLE]]="PETRÓLEO",L663*$Q$2,L663*$Q$4)</f>
        <v>9309.863636363636</v>
      </c>
      <c r="N663" s="12" t="str">
        <f>IF(OR(WEEKDAY(Tabla15[[#This Row],[Fecha]],2)=6,WEEKDAY(Tabla15[[#This Row],[Fecha]],2)=7),"Fin de semana","Semana")</f>
        <v>Semana</v>
      </c>
    </row>
    <row r="664" spans="1:14" ht="12.75" customHeight="1" x14ac:dyDescent="0.25">
      <c r="A664" s="11" t="str">
        <f>_xlfn.XLOOKUP(Tabla15[[#This Row],[GPS]],Hoja3!A:A,Hoja3!B:B)</f>
        <v>CAMIONETA</v>
      </c>
      <c r="B664" s="11" t="str">
        <f>_xlfn.XLOOKUP(GPS!D664,Hoja3!A:A,Hoja3!D:D)</f>
        <v>PETRÓLEO</v>
      </c>
      <c r="C664" s="12" t="str">
        <f>_xlfn.XLOOKUP(Tabla15[[#This Row],[GPS]],Hoja3!A:A,Hoja3!C:C)</f>
        <v>RODRIGO SALINAS</v>
      </c>
      <c r="D664" s="12" t="s">
        <v>109</v>
      </c>
      <c r="E664" s="13">
        <v>46162</v>
      </c>
      <c r="F664" s="11">
        <v>7.1002999999999998</v>
      </c>
      <c r="G664" s="11">
        <v>234.91</v>
      </c>
      <c r="H664" s="11">
        <v>1</v>
      </c>
      <c r="I664" s="11">
        <v>38.330300000000001</v>
      </c>
      <c r="J664" s="11">
        <v>194.99709999999999</v>
      </c>
      <c r="K664" s="11">
        <v>0.89</v>
      </c>
      <c r="L664" s="15">
        <f t="shared" si="10"/>
        <v>26.101111111111109</v>
      </c>
      <c r="M664" s="14">
        <f>IF(Tabla15[[#This Row],[COMBUSTIBLE]]="PETRÓLEO",L664*$Q$2,L664*$Q$4)</f>
        <v>31347.434444444443</v>
      </c>
      <c r="N664" s="12" t="str">
        <f>IF(OR(WEEKDAY(Tabla15[[#This Row],[Fecha]],2)=6,WEEKDAY(Tabla15[[#This Row],[Fecha]],2)=7),"Fin de semana","Semana")</f>
        <v>Semana</v>
      </c>
    </row>
    <row r="665" spans="1:14" ht="12.75" customHeight="1" x14ac:dyDescent="0.25">
      <c r="A665" s="11" t="str">
        <f>_xlfn.XLOOKUP(Tabla15[[#This Row],[GPS]],Hoja3!A:A,Hoja3!B:B)</f>
        <v>TRACTOR</v>
      </c>
      <c r="B665" s="11" t="str">
        <f>_xlfn.XLOOKUP(GPS!D665,Hoja3!A:A,Hoja3!D:D)</f>
        <v>PETRÓLEO</v>
      </c>
      <c r="C665" s="12" t="str">
        <f>_xlfn.XLOOKUP(Tabla15[[#This Row],[GPS]],Hoja3!A:A,Hoja3!C:C)</f>
        <v>T12</v>
      </c>
      <c r="D665" s="12" t="s">
        <v>17</v>
      </c>
      <c r="E665" s="13">
        <v>46170</v>
      </c>
      <c r="F665" s="11">
        <v>6.6224999999999996</v>
      </c>
      <c r="G665" s="11">
        <v>30.88</v>
      </c>
      <c r="H665" s="11">
        <v>1</v>
      </c>
      <c r="I665" s="11">
        <v>6.0060000000000002</v>
      </c>
      <c r="J665" s="11">
        <v>28.780100000000001</v>
      </c>
      <c r="K665" s="11">
        <v>0.83</v>
      </c>
      <c r="L665" s="15">
        <f t="shared" si="10"/>
        <v>5.1466666666666665</v>
      </c>
      <c r="M665" s="14">
        <f>IF(Tabla15[[#This Row],[COMBUSTIBLE]]="PETRÓLEO",L665*$Q$2,L665*$Q$4)</f>
        <v>6181.1466666666665</v>
      </c>
      <c r="N665" s="12" t="str">
        <f>IF(OR(WEEKDAY(Tabla15[[#This Row],[Fecha]],2)=6,WEEKDAY(Tabla15[[#This Row],[Fecha]],2)=7),"Fin de semana","Semana")</f>
        <v>Semana</v>
      </c>
    </row>
    <row r="666" spans="1:14" ht="12.75" customHeight="1" x14ac:dyDescent="0.25">
      <c r="A666" s="11" t="str">
        <f>_xlfn.XLOOKUP(Tabla15[[#This Row],[GPS]],Hoja3!A:A,Hoja3!B:B)</f>
        <v>CAMIONETA</v>
      </c>
      <c r="B666" s="11" t="str">
        <f>_xlfn.XLOOKUP(GPS!D666,Hoja3!A:A,Hoja3!D:D)</f>
        <v>PETRÓLEO</v>
      </c>
      <c r="C666" s="12" t="str">
        <f>_xlfn.XLOOKUP(Tabla15[[#This Row],[GPS]],Hoja3!A:A,Hoja3!C:C)</f>
        <v>CAMPO PAINE</v>
      </c>
      <c r="D666" s="12" t="s">
        <v>131</v>
      </c>
      <c r="E666" s="13">
        <v>46163</v>
      </c>
      <c r="F666" s="11">
        <v>5.9808000000000003</v>
      </c>
      <c r="G666" s="11">
        <v>14.12</v>
      </c>
      <c r="H666" s="11">
        <v>1</v>
      </c>
      <c r="I666" s="11">
        <v>29.753599999999999</v>
      </c>
      <c r="J666" s="11">
        <v>70.653800000000004</v>
      </c>
      <c r="K666" s="11">
        <v>0.75</v>
      </c>
      <c r="L666" s="15">
        <f t="shared" si="10"/>
        <v>1.5688888888888888</v>
      </c>
      <c r="M666" s="14">
        <f>IF(Tabla15[[#This Row],[COMBUSTIBLE]]="PETRÓLEO",L666*$Q$2,L666*$Q$4)</f>
        <v>1884.2355555555555</v>
      </c>
      <c r="N666" s="12" t="str">
        <f>IF(OR(WEEKDAY(Tabla15[[#This Row],[Fecha]],2)=6,WEEKDAY(Tabla15[[#This Row],[Fecha]],2)=7),"Fin de semana","Semana")</f>
        <v>Semana</v>
      </c>
    </row>
    <row r="667" spans="1:14" ht="12.75" customHeight="1" x14ac:dyDescent="0.25">
      <c r="A667" s="11" t="str">
        <f>_xlfn.XLOOKUP(Tabla15[[#This Row],[GPS]],Hoja3!A:A,Hoja3!B:B)</f>
        <v>CAMIONETA</v>
      </c>
      <c r="B667" s="11" t="str">
        <f>_xlfn.XLOOKUP(GPS!D667,Hoja3!A:A,Hoja3!D:D)</f>
        <v>PETRÓLEO</v>
      </c>
      <c r="C667" s="12" t="str">
        <f>_xlfn.XLOOKUP(Tabla15[[#This Row],[GPS]],Hoja3!A:A,Hoja3!C:C)</f>
        <v>CAMPO CERRILLOS</v>
      </c>
      <c r="D667" s="12" t="s">
        <v>121</v>
      </c>
      <c r="E667" s="13">
        <v>46162</v>
      </c>
      <c r="F667" s="11">
        <v>5.7188999999999997</v>
      </c>
      <c r="G667" s="11">
        <v>20.28</v>
      </c>
      <c r="H667" s="11">
        <v>1</v>
      </c>
      <c r="I667" s="11">
        <v>15.649800000000001</v>
      </c>
      <c r="J667" s="11">
        <v>38.000100000000003</v>
      </c>
      <c r="K667" s="11">
        <v>0.71</v>
      </c>
      <c r="L667" s="15">
        <f t="shared" si="10"/>
        <v>2.2533333333333334</v>
      </c>
      <c r="M667" s="14">
        <f>IF(Tabla15[[#This Row],[COMBUSTIBLE]]="PETRÓLEO",L667*$Q$2,L667*$Q$4)</f>
        <v>2706.2533333333336</v>
      </c>
      <c r="N667" s="12" t="str">
        <f>IF(OR(WEEKDAY(Tabla15[[#This Row],[Fecha]],2)=6,WEEKDAY(Tabla15[[#This Row],[Fecha]],2)=7),"Fin de semana","Semana")</f>
        <v>Semana</v>
      </c>
    </row>
    <row r="668" spans="1:14" ht="12.75" customHeight="1" x14ac:dyDescent="0.25">
      <c r="A668" s="11" t="str">
        <f>_xlfn.XLOOKUP(Tabla15[[#This Row],[GPS]],Hoja3!A:A,Hoja3!B:B)</f>
        <v>TRACTOR</v>
      </c>
      <c r="B668" s="11" t="str">
        <f>_xlfn.XLOOKUP(GPS!D668,Hoja3!A:A,Hoja3!D:D)</f>
        <v>PETRÓLEO</v>
      </c>
      <c r="C668" s="12" t="str">
        <f>_xlfn.XLOOKUP(Tabla15[[#This Row],[GPS]],Hoja3!A:A,Hoja3!C:C)</f>
        <v>T5</v>
      </c>
      <c r="D668" s="12" t="s">
        <v>24</v>
      </c>
      <c r="E668" s="13">
        <v>46162</v>
      </c>
      <c r="F668" s="11">
        <v>5.4424999999999999</v>
      </c>
      <c r="G668" s="11">
        <v>24.57</v>
      </c>
      <c r="H668" s="11">
        <v>1</v>
      </c>
      <c r="I668" s="11">
        <v>5.0449999999999999</v>
      </c>
      <c r="J668" s="11">
        <v>20.6313</v>
      </c>
      <c r="K668" s="11">
        <v>0.68</v>
      </c>
      <c r="L668" s="15">
        <f t="shared" si="10"/>
        <v>4.0949999999999998</v>
      </c>
      <c r="M668" s="14">
        <f>IF(Tabla15[[#This Row],[COMBUSTIBLE]]="PETRÓLEO",L668*$Q$2,L668*$Q$4)</f>
        <v>4918.0949999999993</v>
      </c>
      <c r="N668" s="12" t="str">
        <f>IF(OR(WEEKDAY(Tabla15[[#This Row],[Fecha]],2)=6,WEEKDAY(Tabla15[[#This Row],[Fecha]],2)=7),"Fin de semana","Semana")</f>
        <v>Semana</v>
      </c>
    </row>
    <row r="669" spans="1:14" ht="12.75" customHeight="1" x14ac:dyDescent="0.25">
      <c r="A669" s="11" t="str">
        <f>_xlfn.XLOOKUP(Tabla15[[#This Row],[GPS]],Hoja3!A:A,Hoja3!B:B)</f>
        <v>CAMIONETA</v>
      </c>
      <c r="B669" s="11" t="str">
        <f>_xlfn.XLOOKUP(GPS!D669,Hoja3!A:A,Hoja3!D:D)</f>
        <v>PETRÓLEO</v>
      </c>
      <c r="C669" s="12" t="str">
        <f>_xlfn.XLOOKUP(Tabla15[[#This Row],[GPS]],Hoja3!A:A,Hoja3!C:C)</f>
        <v>CAMPO CERRILLOS</v>
      </c>
      <c r="D669" s="12" t="s">
        <v>121</v>
      </c>
      <c r="E669" s="13">
        <v>46169</v>
      </c>
      <c r="F669" s="11">
        <v>5.18</v>
      </c>
      <c r="G669" s="11">
        <v>41.32</v>
      </c>
      <c r="H669" s="11">
        <v>1</v>
      </c>
      <c r="I669" s="11">
        <v>20.154199999999999</v>
      </c>
      <c r="J669" s="11">
        <v>79</v>
      </c>
      <c r="K669" s="11">
        <v>0.65</v>
      </c>
      <c r="L669" s="15">
        <f t="shared" si="10"/>
        <v>4.5911111111111111</v>
      </c>
      <c r="M669" s="14">
        <f>IF(Tabla15[[#This Row],[COMBUSTIBLE]]="PETRÓLEO",L669*$Q$2,L669*$Q$4)</f>
        <v>5513.9244444444448</v>
      </c>
      <c r="N669" s="12" t="str">
        <f>IF(OR(WEEKDAY(Tabla15[[#This Row],[Fecha]],2)=6,WEEKDAY(Tabla15[[#This Row],[Fecha]],2)=7),"Fin de semana","Semana")</f>
        <v>Semana</v>
      </c>
    </row>
    <row r="670" spans="1:14" ht="12.75" customHeight="1" x14ac:dyDescent="0.25">
      <c r="A670" s="11" t="str">
        <f>_xlfn.XLOOKUP(Tabla15[[#This Row],[GPS]],Hoja3!A:A,Hoja3!B:B)</f>
        <v>TRACTOR</v>
      </c>
      <c r="B670" s="11" t="str">
        <f>_xlfn.XLOOKUP(GPS!D670,Hoja3!A:A,Hoja3!D:D)</f>
        <v>PETRÓLEO</v>
      </c>
      <c r="C670" s="12" t="str">
        <f>_xlfn.XLOOKUP(Tabla15[[#This Row],[GPS]],Hoja3!A:A,Hoja3!C:C)</f>
        <v>T7</v>
      </c>
      <c r="D670" s="12" t="s">
        <v>26</v>
      </c>
      <c r="E670" s="13">
        <v>46169</v>
      </c>
      <c r="F670" s="11">
        <v>4.9858000000000002</v>
      </c>
      <c r="G670" s="11">
        <v>14.86</v>
      </c>
      <c r="H670" s="11">
        <v>1</v>
      </c>
      <c r="I670" s="11">
        <v>4.7172999999999998</v>
      </c>
      <c r="J670" s="11">
        <v>17.927399999999999</v>
      </c>
      <c r="K670" s="11">
        <v>0.62</v>
      </c>
      <c r="L670" s="15">
        <f t="shared" si="10"/>
        <v>2.4766666666666666</v>
      </c>
      <c r="M670" s="14">
        <f>IF(Tabla15[[#This Row],[COMBUSTIBLE]]="PETRÓLEO",L670*$Q$2,L670*$Q$4)</f>
        <v>2974.4766666666665</v>
      </c>
      <c r="N670" s="12" t="str">
        <f>IF(OR(WEEKDAY(Tabla15[[#This Row],[Fecha]],2)=6,WEEKDAY(Tabla15[[#This Row],[Fecha]],2)=7),"Fin de semana","Semana")</f>
        <v>Semana</v>
      </c>
    </row>
    <row r="671" spans="1:14" ht="12.75" customHeight="1" x14ac:dyDescent="0.25">
      <c r="A671" s="11" t="str">
        <f>_xlfn.XLOOKUP(Tabla15[[#This Row],[GPS]],Hoja3!A:A,Hoja3!B:B)</f>
        <v>TRACTOR</v>
      </c>
      <c r="B671" s="11" t="str">
        <f>_xlfn.XLOOKUP(GPS!D671,Hoja3!A:A,Hoja3!D:D)</f>
        <v>PETRÓLEO</v>
      </c>
      <c r="C671" s="12" t="str">
        <f>_xlfn.XLOOKUP(Tabla15[[#This Row],[GPS]],Hoja3!A:A,Hoja3!C:C)</f>
        <v>T8</v>
      </c>
      <c r="D671" s="12" t="s">
        <v>27</v>
      </c>
      <c r="E671" s="13">
        <v>46162</v>
      </c>
      <c r="F671" s="11">
        <v>4.9527999999999999</v>
      </c>
      <c r="G671" s="11">
        <v>19.38</v>
      </c>
      <c r="H671" s="11">
        <v>1</v>
      </c>
      <c r="I671" s="11">
        <v>7.2565999999999997</v>
      </c>
      <c r="J671" s="11">
        <v>39.243899999999996</v>
      </c>
      <c r="K671" s="11">
        <v>0.62</v>
      </c>
      <c r="L671" s="15">
        <f t="shared" si="10"/>
        <v>3.23</v>
      </c>
      <c r="M671" s="14">
        <f>IF(Tabla15[[#This Row],[COMBUSTIBLE]]="PETRÓLEO",L671*$Q$2,L671*$Q$4)</f>
        <v>3879.23</v>
      </c>
      <c r="N671" s="12" t="str">
        <f>IF(OR(WEEKDAY(Tabla15[[#This Row],[Fecha]],2)=6,WEEKDAY(Tabla15[[#This Row],[Fecha]],2)=7),"Fin de semana","Semana")</f>
        <v>Semana</v>
      </c>
    </row>
    <row r="672" spans="1:14" ht="12.75" customHeight="1" x14ac:dyDescent="0.25">
      <c r="A672" s="11" t="str">
        <f>_xlfn.XLOOKUP(Tabla15[[#This Row],[GPS]],Hoja3!A:A,Hoja3!B:B)</f>
        <v>CAMIONETA</v>
      </c>
      <c r="B672" s="11" t="str">
        <f>_xlfn.XLOOKUP(GPS!D672,Hoja3!A:A,Hoja3!D:D)</f>
        <v>PETRÓLEO</v>
      </c>
      <c r="C672" s="12" t="str">
        <f>_xlfn.XLOOKUP(Tabla15[[#This Row],[GPS]],Hoja3!A:A,Hoja3!C:C)</f>
        <v>CAMPO CERRILLOS</v>
      </c>
      <c r="D672" s="12" t="s">
        <v>121</v>
      </c>
      <c r="E672" s="13">
        <v>46168</v>
      </c>
      <c r="F672" s="11">
        <v>4.8038999999999996</v>
      </c>
      <c r="G672" s="11">
        <v>27</v>
      </c>
      <c r="H672" s="11">
        <v>1</v>
      </c>
      <c r="I672" s="11">
        <v>16.064499999999999</v>
      </c>
      <c r="J672" s="11">
        <v>47.207500000000003</v>
      </c>
      <c r="K672" s="11">
        <v>0.6</v>
      </c>
      <c r="L672" s="15">
        <f t="shared" si="10"/>
        <v>3</v>
      </c>
      <c r="M672" s="14">
        <f>IF(Tabla15[[#This Row],[COMBUSTIBLE]]="PETRÓLEO",L672*$Q$2,L672*$Q$4)</f>
        <v>3603</v>
      </c>
      <c r="N672" s="12" t="str">
        <f>IF(OR(WEEKDAY(Tabla15[[#This Row],[Fecha]],2)=6,WEEKDAY(Tabla15[[#This Row],[Fecha]],2)=7),"Fin de semana","Semana")</f>
        <v>Semana</v>
      </c>
    </row>
    <row r="673" spans="1:14" ht="12.75" customHeight="1" x14ac:dyDescent="0.25">
      <c r="A673" s="11" t="str">
        <f>_xlfn.XLOOKUP(Tabla15[[#This Row],[GPS]],Hoja3!A:A,Hoja3!B:B)</f>
        <v>CAMIONETA</v>
      </c>
      <c r="B673" s="11" t="str">
        <f>_xlfn.XLOOKUP(GPS!D673,Hoja3!A:A,Hoja3!D:D)</f>
        <v>PETRÓLEO</v>
      </c>
      <c r="C673" s="12" t="str">
        <f>_xlfn.XLOOKUP(Tabla15[[#This Row],[GPS]],Hoja3!A:A,Hoja3!C:C)</f>
        <v>CAMPO CERRILLOS</v>
      </c>
      <c r="D673" s="12" t="s">
        <v>121</v>
      </c>
      <c r="E673" s="13">
        <v>46161</v>
      </c>
      <c r="F673" s="11">
        <v>4.7061000000000002</v>
      </c>
      <c r="G673" s="11">
        <v>22.55</v>
      </c>
      <c r="H673" s="11">
        <v>1</v>
      </c>
      <c r="I673" s="11">
        <v>15.485900000000001</v>
      </c>
      <c r="J673" s="11">
        <v>67.468400000000003</v>
      </c>
      <c r="K673" s="11">
        <v>0.59</v>
      </c>
      <c r="L673" s="15">
        <f t="shared" si="10"/>
        <v>2.5055555555555555</v>
      </c>
      <c r="M673" s="14">
        <f>IF(Tabla15[[#This Row],[COMBUSTIBLE]]="PETRÓLEO",L673*$Q$2,L673*$Q$4)</f>
        <v>3009.172222222222</v>
      </c>
      <c r="N673" s="12" t="str">
        <f>IF(OR(WEEKDAY(Tabla15[[#This Row],[Fecha]],2)=6,WEEKDAY(Tabla15[[#This Row],[Fecha]],2)=7),"Fin de semana","Semana")</f>
        <v>Semana</v>
      </c>
    </row>
    <row r="674" spans="1:14" ht="12.75" customHeight="1" x14ac:dyDescent="0.25">
      <c r="A674" s="11" t="str">
        <f>_xlfn.XLOOKUP(Tabla15[[#This Row],[GPS]],Hoja3!A:A,Hoja3!B:B)</f>
        <v>CAMIONETA</v>
      </c>
      <c r="B674" s="11" t="str">
        <f>_xlfn.XLOOKUP(GPS!D674,Hoja3!A:A,Hoja3!D:D)</f>
        <v>PETRÓLEO</v>
      </c>
      <c r="C674" s="12" t="str">
        <f>_xlfn.XLOOKUP(Tabla15[[#This Row],[GPS]],Hoja3!A:A,Hoja3!C:C)</f>
        <v>RODRIGO SALINAS</v>
      </c>
      <c r="D674" s="12" t="s">
        <v>109</v>
      </c>
      <c r="E674" s="13">
        <v>46161</v>
      </c>
      <c r="F674" s="11">
        <v>4.4482999999999997</v>
      </c>
      <c r="G674" s="11">
        <v>146.11000000000001</v>
      </c>
      <c r="H674" s="11">
        <v>1</v>
      </c>
      <c r="I674" s="11">
        <v>37.756399999999999</v>
      </c>
      <c r="J674" s="11">
        <v>175.66220000000001</v>
      </c>
      <c r="K674" s="11">
        <v>0.56000000000000005</v>
      </c>
      <c r="L674" s="15">
        <f t="shared" si="10"/>
        <v>16.234444444444446</v>
      </c>
      <c r="M674" s="14">
        <f>IF(Tabla15[[#This Row],[COMBUSTIBLE]]="PETRÓLEO",L674*$Q$2,L674*$Q$4)</f>
        <v>19497.567777777778</v>
      </c>
      <c r="N674" s="12" t="str">
        <f>IF(OR(WEEKDAY(Tabla15[[#This Row],[Fecha]],2)=6,WEEKDAY(Tabla15[[#This Row],[Fecha]],2)=7),"Fin de semana","Semana")</f>
        <v>Semana</v>
      </c>
    </row>
    <row r="675" spans="1:14" ht="12.75" customHeight="1" x14ac:dyDescent="0.25">
      <c r="A675" s="11" t="str">
        <f>_xlfn.XLOOKUP(Tabla15[[#This Row],[GPS]],Hoja3!A:A,Hoja3!B:B)</f>
        <v>CAMIONETA</v>
      </c>
      <c r="B675" s="11" t="str">
        <f>_xlfn.XLOOKUP(GPS!D675,Hoja3!A:A,Hoja3!D:D)</f>
        <v>PETRÓLEO</v>
      </c>
      <c r="C675" s="12" t="str">
        <f>_xlfn.XLOOKUP(Tabla15[[#This Row],[GPS]],Hoja3!A:A,Hoja3!C:C)</f>
        <v>CAMPO RULO</v>
      </c>
      <c r="D675" s="12" t="s">
        <v>135</v>
      </c>
      <c r="E675" s="13">
        <v>46170</v>
      </c>
      <c r="F675" s="11">
        <v>4.2435999999999998</v>
      </c>
      <c r="G675" s="11">
        <v>71.790000000000006</v>
      </c>
      <c r="H675" s="11">
        <v>1</v>
      </c>
      <c r="I675" s="11">
        <v>22.445599999999999</v>
      </c>
      <c r="J675" s="11">
        <v>171.8656</v>
      </c>
      <c r="K675" s="11">
        <v>0.53</v>
      </c>
      <c r="L675" s="15">
        <f t="shared" si="10"/>
        <v>7.9766666666666675</v>
      </c>
      <c r="M675" s="14">
        <f>IF(Tabla15[[#This Row],[COMBUSTIBLE]]="PETRÓLEO",L675*$Q$2,L675*$Q$4)</f>
        <v>9579.9766666666674</v>
      </c>
      <c r="N675" s="12" t="str">
        <f>IF(OR(WEEKDAY(Tabla15[[#This Row],[Fecha]],2)=6,WEEKDAY(Tabla15[[#This Row],[Fecha]],2)=7),"Fin de semana","Semana")</f>
        <v>Semana</v>
      </c>
    </row>
    <row r="676" spans="1:14" ht="12.75" customHeight="1" x14ac:dyDescent="0.25">
      <c r="A676" s="11" t="str">
        <f>_xlfn.XLOOKUP(Tabla15[[#This Row],[GPS]],Hoja3!A:A,Hoja3!B:B)</f>
        <v>TRACTOR</v>
      </c>
      <c r="B676" s="11" t="str">
        <f>_xlfn.XLOOKUP(GPS!D676,Hoja3!A:A,Hoja3!D:D)</f>
        <v>PETRÓLEO</v>
      </c>
      <c r="C676" s="12" t="str">
        <f>_xlfn.XLOOKUP(Tabla15[[#This Row],[GPS]],Hoja3!A:A,Hoja3!C:C)</f>
        <v>T8</v>
      </c>
      <c r="D676" s="12" t="s">
        <v>27</v>
      </c>
      <c r="E676" s="13">
        <v>46170</v>
      </c>
      <c r="F676" s="11">
        <v>4.1314000000000002</v>
      </c>
      <c r="G676" s="11">
        <v>13.4</v>
      </c>
      <c r="H676" s="11">
        <v>1</v>
      </c>
      <c r="I676" s="11">
        <v>6.2122999999999999</v>
      </c>
      <c r="J676" s="11">
        <v>66.801599999999993</v>
      </c>
      <c r="K676" s="11">
        <v>0.52</v>
      </c>
      <c r="L676" s="15">
        <f t="shared" si="10"/>
        <v>2.2333333333333334</v>
      </c>
      <c r="M676" s="14">
        <f>IF(Tabla15[[#This Row],[COMBUSTIBLE]]="PETRÓLEO",L676*$Q$2,L676*$Q$4)</f>
        <v>2682.2333333333336</v>
      </c>
      <c r="N676" s="12" t="str">
        <f>IF(OR(WEEKDAY(Tabla15[[#This Row],[Fecha]],2)=6,WEEKDAY(Tabla15[[#This Row],[Fecha]],2)=7),"Fin de semana","Semana")</f>
        <v>Semana</v>
      </c>
    </row>
    <row r="677" spans="1:14" ht="12.75" customHeight="1" x14ac:dyDescent="0.25">
      <c r="A677" s="11" t="str">
        <f>_xlfn.XLOOKUP(Tabla15[[#This Row],[GPS]],Hoja3!A:A,Hoja3!B:B)</f>
        <v>CAMIONETA</v>
      </c>
      <c r="B677" s="11" t="str">
        <f>_xlfn.XLOOKUP(GPS!D677,Hoja3!A:A,Hoja3!D:D)</f>
        <v>PETRÓLEO</v>
      </c>
      <c r="C677" s="12" t="str">
        <f>_xlfn.XLOOKUP(Tabla15[[#This Row],[GPS]],Hoja3!A:A,Hoja3!C:C)</f>
        <v>CAMPO RULO</v>
      </c>
      <c r="D677" s="12" t="s">
        <v>135</v>
      </c>
      <c r="E677" s="13">
        <v>46169</v>
      </c>
      <c r="F677" s="11">
        <v>4.0883000000000003</v>
      </c>
      <c r="G677" s="11">
        <v>38.83</v>
      </c>
      <c r="H677" s="11">
        <v>1</v>
      </c>
      <c r="I677" s="11">
        <v>15.573</v>
      </c>
      <c r="J677" s="11">
        <v>70.672300000000007</v>
      </c>
      <c r="K677" s="11">
        <v>0.51</v>
      </c>
      <c r="L677" s="15">
        <f t="shared" si="10"/>
        <v>4.3144444444444439</v>
      </c>
      <c r="M677" s="14">
        <f>IF(Tabla15[[#This Row],[COMBUSTIBLE]]="PETRÓLEO",L677*$Q$2,L677*$Q$4)</f>
        <v>5181.6477777777773</v>
      </c>
      <c r="N677" s="12" t="str">
        <f>IF(OR(WEEKDAY(Tabla15[[#This Row],[Fecha]],2)=6,WEEKDAY(Tabla15[[#This Row],[Fecha]],2)=7),"Fin de semana","Semana")</f>
        <v>Semana</v>
      </c>
    </row>
    <row r="678" spans="1:14" ht="12.75" customHeight="1" x14ac:dyDescent="0.25">
      <c r="A678" s="11" t="str">
        <f>_xlfn.XLOOKUP(Tabla15[[#This Row],[GPS]],Hoja3!A:A,Hoja3!B:B)</f>
        <v>CAMIONETA</v>
      </c>
      <c r="B678" s="11" t="str">
        <f>_xlfn.XLOOKUP(GPS!D678,Hoja3!A:A,Hoja3!D:D)</f>
        <v>PETRÓLEO</v>
      </c>
      <c r="C678" s="12" t="str">
        <f>_xlfn.XLOOKUP(Tabla15[[#This Row],[GPS]],Hoja3!A:A,Hoja3!C:C)</f>
        <v>GONZALO GUERRERO</v>
      </c>
      <c r="D678" s="12" t="s">
        <v>126</v>
      </c>
      <c r="E678" s="13">
        <v>46162</v>
      </c>
      <c r="F678" s="11">
        <v>4.0632999999999999</v>
      </c>
      <c r="G678" s="11">
        <v>85.04</v>
      </c>
      <c r="H678" s="11">
        <v>1</v>
      </c>
      <c r="I678" s="11">
        <v>27.4068</v>
      </c>
      <c r="J678" s="11">
        <v>112.0001</v>
      </c>
      <c r="K678" s="11">
        <v>0.51</v>
      </c>
      <c r="L678" s="15">
        <f t="shared" si="10"/>
        <v>9.4488888888888898</v>
      </c>
      <c r="M678" s="14">
        <f>IF(Tabla15[[#This Row],[COMBUSTIBLE]]="PETRÓLEO",L678*$Q$2,L678*$Q$4)</f>
        <v>11348.115555555556</v>
      </c>
      <c r="N678" s="12" t="str">
        <f>IF(OR(WEEKDAY(Tabla15[[#This Row],[Fecha]],2)=6,WEEKDAY(Tabla15[[#This Row],[Fecha]],2)=7),"Fin de semana","Semana")</f>
        <v>Semana</v>
      </c>
    </row>
    <row r="679" spans="1:14" ht="12.75" customHeight="1" x14ac:dyDescent="0.25">
      <c r="A679" s="11" t="str">
        <f>_xlfn.XLOOKUP(Tabla15[[#This Row],[GPS]],Hoja3!A:A,Hoja3!B:B)</f>
        <v>TRACTOR</v>
      </c>
      <c r="B679" s="11" t="str">
        <f>_xlfn.XLOOKUP(GPS!D679,Hoja3!A:A,Hoja3!D:D)</f>
        <v>PETRÓLEO</v>
      </c>
      <c r="C679" s="12" t="str">
        <f>_xlfn.XLOOKUP(Tabla15[[#This Row],[GPS]],Hoja3!A:A,Hoja3!C:C)</f>
        <v>T4</v>
      </c>
      <c r="D679" s="12" t="s">
        <v>23</v>
      </c>
      <c r="E679" s="13">
        <v>46162</v>
      </c>
      <c r="F679" s="11">
        <v>4.0308000000000002</v>
      </c>
      <c r="G679" s="11">
        <v>16.690000000000001</v>
      </c>
      <c r="H679" s="11">
        <v>1</v>
      </c>
      <c r="I679" s="11">
        <v>5.4739000000000004</v>
      </c>
      <c r="J679" s="11">
        <v>54.2821</v>
      </c>
      <c r="K679" s="11">
        <v>0.5</v>
      </c>
      <c r="L679" s="15">
        <f t="shared" si="10"/>
        <v>2.7816666666666667</v>
      </c>
      <c r="M679" s="14">
        <f>IF(Tabla15[[#This Row],[COMBUSTIBLE]]="PETRÓLEO",L679*$Q$2,L679*$Q$4)</f>
        <v>3340.7816666666668</v>
      </c>
      <c r="N679" s="12" t="str">
        <f>IF(OR(WEEKDAY(Tabla15[[#This Row],[Fecha]],2)=6,WEEKDAY(Tabla15[[#This Row],[Fecha]],2)=7),"Fin de semana","Semana")</f>
        <v>Semana</v>
      </c>
    </row>
    <row r="680" spans="1:14" ht="12.75" customHeight="1" x14ac:dyDescent="0.25">
      <c r="A680" s="11" t="str">
        <f>_xlfn.XLOOKUP(Tabla15[[#This Row],[GPS]],Hoja3!A:A,Hoja3!B:B)</f>
        <v>CAMIONETA</v>
      </c>
      <c r="B680" s="11" t="str">
        <f>_xlfn.XLOOKUP(GPS!D680,Hoja3!A:A,Hoja3!D:D)</f>
        <v>PETRÓLEO</v>
      </c>
      <c r="C680" s="12" t="str">
        <f>_xlfn.XLOOKUP(Tabla15[[#This Row],[GPS]],Hoja3!A:A,Hoja3!C:C)</f>
        <v>CAMPO CERRILLOS</v>
      </c>
      <c r="D680" s="12" t="s">
        <v>121</v>
      </c>
      <c r="E680" s="13">
        <v>46170</v>
      </c>
      <c r="F680" s="11">
        <v>3.9239000000000002</v>
      </c>
      <c r="G680" s="11">
        <v>163.84</v>
      </c>
      <c r="H680" s="11">
        <v>1</v>
      </c>
      <c r="I680" s="11">
        <v>44.317900000000002</v>
      </c>
      <c r="J680" s="11">
        <v>134</v>
      </c>
      <c r="K680" s="11">
        <v>0.49</v>
      </c>
      <c r="L680" s="15">
        <f t="shared" si="10"/>
        <v>18.204444444444444</v>
      </c>
      <c r="M680" s="14">
        <f>IF(Tabla15[[#This Row],[COMBUSTIBLE]]="PETRÓLEO",L680*$Q$2,L680*$Q$4)</f>
        <v>21863.537777777779</v>
      </c>
      <c r="N680" s="12" t="str">
        <f>IF(OR(WEEKDAY(Tabla15[[#This Row],[Fecha]],2)=6,WEEKDAY(Tabla15[[#This Row],[Fecha]],2)=7),"Fin de semana","Semana")</f>
        <v>Semana</v>
      </c>
    </row>
    <row r="681" spans="1:14" ht="12.75" customHeight="1" x14ac:dyDescent="0.25">
      <c r="A681" s="11" t="str">
        <f>_xlfn.XLOOKUP(Tabla15[[#This Row],[GPS]],Hoja3!A:A,Hoja3!B:B)</f>
        <v>TRACTOR</v>
      </c>
      <c r="B681" s="11" t="str">
        <f>_xlfn.XLOOKUP(GPS!D681,Hoja3!A:A,Hoja3!D:D)</f>
        <v>PETRÓLEO</v>
      </c>
      <c r="C681" s="12" t="str">
        <f>_xlfn.XLOOKUP(Tabla15[[#This Row],[GPS]],Hoja3!A:A,Hoja3!C:C)</f>
        <v>T7</v>
      </c>
      <c r="D681" s="12" t="s">
        <v>26</v>
      </c>
      <c r="E681" s="13">
        <v>46168</v>
      </c>
      <c r="F681" s="11">
        <v>3.8616999999999999</v>
      </c>
      <c r="G681" s="11">
        <v>8.4499999999999993</v>
      </c>
      <c r="H681" s="11">
        <v>1</v>
      </c>
      <c r="I681" s="11">
        <v>6.1365999999999996</v>
      </c>
      <c r="J681" s="11">
        <v>25.742799999999999</v>
      </c>
      <c r="K681" s="11">
        <v>0.48</v>
      </c>
      <c r="L681" s="15">
        <f t="shared" si="10"/>
        <v>1.4083333333333332</v>
      </c>
      <c r="M681" s="14">
        <f>IF(Tabla15[[#This Row],[COMBUSTIBLE]]="PETRÓLEO",L681*$Q$2,L681*$Q$4)</f>
        <v>1691.4083333333333</v>
      </c>
      <c r="N681" s="12" t="str">
        <f>IF(OR(WEEKDAY(Tabla15[[#This Row],[Fecha]],2)=6,WEEKDAY(Tabla15[[#This Row],[Fecha]],2)=7),"Fin de semana","Semana")</f>
        <v>Semana</v>
      </c>
    </row>
    <row r="682" spans="1:14" ht="12.75" customHeight="1" x14ac:dyDescent="0.25">
      <c r="A682" s="11" t="str">
        <f>_xlfn.XLOOKUP(Tabla15[[#This Row],[GPS]],Hoja3!A:A,Hoja3!B:B)</f>
        <v>TRACTOR</v>
      </c>
      <c r="B682" s="11" t="str">
        <f>_xlfn.XLOOKUP(GPS!D682,Hoja3!A:A,Hoja3!D:D)</f>
        <v>PETRÓLEO</v>
      </c>
      <c r="C682" s="12" t="str">
        <f>_xlfn.XLOOKUP(Tabla15[[#This Row],[GPS]],Hoja3!A:A,Hoja3!C:C)</f>
        <v>T6</v>
      </c>
      <c r="D682" s="12" t="s">
        <v>25</v>
      </c>
      <c r="E682" s="13">
        <v>46161</v>
      </c>
      <c r="F682" s="11">
        <v>3.8067000000000002</v>
      </c>
      <c r="G682" s="11">
        <v>7.58</v>
      </c>
      <c r="H682" s="11">
        <v>1</v>
      </c>
      <c r="I682" s="11">
        <v>6.7191000000000001</v>
      </c>
      <c r="J682" s="11">
        <v>22.279599999999999</v>
      </c>
      <c r="K682" s="11">
        <v>0.48</v>
      </c>
      <c r="L682" s="15">
        <f t="shared" si="10"/>
        <v>1.2633333333333334</v>
      </c>
      <c r="M682" s="14">
        <f>IF(Tabla15[[#This Row],[COMBUSTIBLE]]="PETRÓLEO",L682*$Q$2,L682*$Q$4)</f>
        <v>1517.2633333333335</v>
      </c>
      <c r="N682" s="12" t="str">
        <f>IF(OR(WEEKDAY(Tabla15[[#This Row],[Fecha]],2)=6,WEEKDAY(Tabla15[[#This Row],[Fecha]],2)=7),"Fin de semana","Semana")</f>
        <v>Semana</v>
      </c>
    </row>
    <row r="683" spans="1:14" ht="12.75" customHeight="1" x14ac:dyDescent="0.25">
      <c r="A683" s="11" t="str">
        <f>_xlfn.XLOOKUP(Tabla15[[#This Row],[GPS]],Hoja3!A:A,Hoja3!B:B)</f>
        <v>TRACTOR</v>
      </c>
      <c r="B683" s="11" t="str">
        <f>_xlfn.XLOOKUP(GPS!D683,Hoja3!A:A,Hoja3!D:D)</f>
        <v>PETRÓLEO</v>
      </c>
      <c r="C683" s="12" t="str">
        <f>_xlfn.XLOOKUP(Tabla15[[#This Row],[GPS]],Hoja3!A:A,Hoja3!C:C)</f>
        <v>T11</v>
      </c>
      <c r="D683" s="12" t="s">
        <v>15</v>
      </c>
      <c r="E683" s="13">
        <v>46168</v>
      </c>
      <c r="F683" s="11">
        <v>3.7696999999999998</v>
      </c>
      <c r="G683" s="11">
        <v>26.2</v>
      </c>
      <c r="H683" s="11">
        <v>1</v>
      </c>
      <c r="I683" s="11">
        <v>5.7453000000000003</v>
      </c>
      <c r="J683" s="11">
        <v>18.223700000000001</v>
      </c>
      <c r="K683" s="11">
        <v>0.47</v>
      </c>
      <c r="L683" s="15">
        <f t="shared" si="10"/>
        <v>4.3666666666666663</v>
      </c>
      <c r="M683" s="14">
        <f>IF(Tabla15[[#This Row],[COMBUSTIBLE]]="PETRÓLEO",L683*$Q$2,L683*$Q$4)</f>
        <v>5244.3666666666659</v>
      </c>
      <c r="N683" s="12" t="str">
        <f>IF(OR(WEEKDAY(Tabla15[[#This Row],[Fecha]],2)=6,WEEKDAY(Tabla15[[#This Row],[Fecha]],2)=7),"Fin de semana","Semana")</f>
        <v>Semana</v>
      </c>
    </row>
    <row r="684" spans="1:14" ht="12.75" customHeight="1" x14ac:dyDescent="0.25">
      <c r="A684" s="11" t="str">
        <f>_xlfn.XLOOKUP(Tabla15[[#This Row],[GPS]],Hoja3!A:A,Hoja3!B:B)</f>
        <v>TRACTOR</v>
      </c>
      <c r="B684" s="11" t="str">
        <f>_xlfn.XLOOKUP(GPS!D684,Hoja3!A:A,Hoja3!D:D)</f>
        <v>PETRÓLEO</v>
      </c>
      <c r="C684" s="12" t="str">
        <f>_xlfn.XLOOKUP(Tabla15[[#This Row],[GPS]],Hoja3!A:A,Hoja3!C:C)</f>
        <v>T8</v>
      </c>
      <c r="D684" s="12" t="s">
        <v>27</v>
      </c>
      <c r="E684" s="13">
        <v>46169</v>
      </c>
      <c r="F684" s="11">
        <v>3.7639</v>
      </c>
      <c r="G684" s="11">
        <v>12.4</v>
      </c>
      <c r="H684" s="11">
        <v>1</v>
      </c>
      <c r="I684" s="11">
        <v>5.8842999999999996</v>
      </c>
      <c r="J684" s="11">
        <v>32.928600000000003</v>
      </c>
      <c r="K684" s="11">
        <v>0.47</v>
      </c>
      <c r="L684" s="15">
        <f t="shared" si="10"/>
        <v>2.0666666666666669</v>
      </c>
      <c r="M684" s="14">
        <f>IF(Tabla15[[#This Row],[COMBUSTIBLE]]="PETRÓLEO",L684*$Q$2,L684*$Q$4)</f>
        <v>2482.0666666666671</v>
      </c>
      <c r="N684" s="12" t="str">
        <f>IF(OR(WEEKDAY(Tabla15[[#This Row],[Fecha]],2)=6,WEEKDAY(Tabla15[[#This Row],[Fecha]],2)=7),"Fin de semana","Semana")</f>
        <v>Semana</v>
      </c>
    </row>
    <row r="685" spans="1:14" ht="12.75" customHeight="1" x14ac:dyDescent="0.25">
      <c r="A685" s="11" t="str">
        <f>_xlfn.XLOOKUP(Tabla15[[#This Row],[GPS]],Hoja3!A:A,Hoja3!B:B)</f>
        <v>TRACTOR</v>
      </c>
      <c r="B685" s="11" t="str">
        <f>_xlfn.XLOOKUP(GPS!D685,Hoja3!A:A,Hoja3!D:D)</f>
        <v>PETRÓLEO</v>
      </c>
      <c r="C685" s="12" t="str">
        <f>_xlfn.XLOOKUP(Tabla15[[#This Row],[GPS]],Hoja3!A:A,Hoja3!C:C)</f>
        <v>T7</v>
      </c>
      <c r="D685" s="12" t="s">
        <v>26</v>
      </c>
      <c r="E685" s="13">
        <v>46162</v>
      </c>
      <c r="F685" s="11">
        <v>3.7422</v>
      </c>
      <c r="G685" s="11">
        <v>13.3</v>
      </c>
      <c r="H685" s="11">
        <v>1</v>
      </c>
      <c r="I685" s="11">
        <v>5.9894999999999996</v>
      </c>
      <c r="J685" s="11">
        <v>14.001099999999999</v>
      </c>
      <c r="K685" s="11">
        <v>0.47</v>
      </c>
      <c r="L685" s="15">
        <f t="shared" si="10"/>
        <v>2.2166666666666668</v>
      </c>
      <c r="M685" s="14">
        <f>IF(Tabla15[[#This Row],[COMBUSTIBLE]]="PETRÓLEO",L685*$Q$2,L685*$Q$4)</f>
        <v>2662.2166666666667</v>
      </c>
      <c r="N685" s="12" t="str">
        <f>IF(OR(WEEKDAY(Tabla15[[#This Row],[Fecha]],2)=6,WEEKDAY(Tabla15[[#This Row],[Fecha]],2)=7),"Fin de semana","Semana")</f>
        <v>Semana</v>
      </c>
    </row>
    <row r="686" spans="1:14" ht="12.75" customHeight="1" x14ac:dyDescent="0.25">
      <c r="A686" s="11" t="str">
        <f>_xlfn.XLOOKUP(Tabla15[[#This Row],[GPS]],Hoja3!A:A,Hoja3!B:B)</f>
        <v>TRACTOR</v>
      </c>
      <c r="B686" s="11" t="str">
        <f>_xlfn.XLOOKUP(GPS!D686,Hoja3!A:A,Hoja3!D:D)</f>
        <v>PETRÓLEO</v>
      </c>
      <c r="C686" s="12" t="str">
        <f>_xlfn.XLOOKUP(Tabla15[[#This Row],[GPS]],Hoja3!A:A,Hoja3!C:C)</f>
        <v>T12</v>
      </c>
      <c r="D686" s="12" t="s">
        <v>17</v>
      </c>
      <c r="E686" s="13">
        <v>46169</v>
      </c>
      <c r="F686" s="11">
        <v>3.5649999999999999</v>
      </c>
      <c r="G686" s="11">
        <v>14.17</v>
      </c>
      <c r="H686" s="11">
        <v>1</v>
      </c>
      <c r="I686" s="11">
        <v>6.0187999999999997</v>
      </c>
      <c r="J686" s="11">
        <v>66.449799999999996</v>
      </c>
      <c r="K686" s="11">
        <v>0.45</v>
      </c>
      <c r="L686" s="15">
        <f t="shared" si="10"/>
        <v>2.3616666666666668</v>
      </c>
      <c r="M686" s="14">
        <f>IF(Tabla15[[#This Row],[COMBUSTIBLE]]="PETRÓLEO",L686*$Q$2,L686*$Q$4)</f>
        <v>2836.3616666666667</v>
      </c>
      <c r="N686" s="12" t="str">
        <f>IF(OR(WEEKDAY(Tabla15[[#This Row],[Fecha]],2)=6,WEEKDAY(Tabla15[[#This Row],[Fecha]],2)=7),"Fin de semana","Semana")</f>
        <v>Semana</v>
      </c>
    </row>
    <row r="687" spans="1:14" ht="12.75" customHeight="1" x14ac:dyDescent="0.25">
      <c r="A687" s="11" t="str">
        <f>_xlfn.XLOOKUP(Tabla15[[#This Row],[GPS]],Hoja3!A:A,Hoja3!B:B)</f>
        <v>TRACTOR</v>
      </c>
      <c r="B687" s="11" t="str">
        <f>_xlfn.XLOOKUP(GPS!D687,Hoja3!A:A,Hoja3!D:D)</f>
        <v>PETRÓLEO</v>
      </c>
      <c r="C687" s="12" t="str">
        <f>_xlfn.XLOOKUP(Tabla15[[#This Row],[GPS]],Hoja3!A:A,Hoja3!C:C)</f>
        <v>T11</v>
      </c>
      <c r="D687" s="12" t="s">
        <v>15</v>
      </c>
      <c r="E687" s="13">
        <v>46162</v>
      </c>
      <c r="F687" s="11">
        <v>3.4956</v>
      </c>
      <c r="G687" s="11">
        <v>20.63</v>
      </c>
      <c r="H687" s="11">
        <v>1</v>
      </c>
      <c r="I687" s="11">
        <v>6.4271000000000003</v>
      </c>
      <c r="J687" s="11">
        <v>17.131</v>
      </c>
      <c r="K687" s="11">
        <v>0.44</v>
      </c>
      <c r="L687" s="15">
        <f t="shared" si="10"/>
        <v>3.438333333333333</v>
      </c>
      <c r="M687" s="14">
        <f>IF(Tabla15[[#This Row],[COMBUSTIBLE]]="PETRÓLEO",L687*$Q$2,L687*$Q$4)</f>
        <v>4129.4383333333326</v>
      </c>
      <c r="N687" s="12" t="str">
        <f>IF(OR(WEEKDAY(Tabla15[[#This Row],[Fecha]],2)=6,WEEKDAY(Tabla15[[#This Row],[Fecha]],2)=7),"Fin de semana","Semana")</f>
        <v>Semana</v>
      </c>
    </row>
    <row r="688" spans="1:14" ht="12.75" customHeight="1" x14ac:dyDescent="0.25">
      <c r="A688" s="11" t="str">
        <f>_xlfn.XLOOKUP(Tabla15[[#This Row],[GPS]],Hoja3!A:A,Hoja3!B:B)</f>
        <v>CAMIONETA</v>
      </c>
      <c r="B688" s="11" t="str">
        <f>_xlfn.XLOOKUP(GPS!D688,Hoja3!A:A,Hoja3!D:D)</f>
        <v>PETRÓLEO</v>
      </c>
      <c r="C688" s="12" t="str">
        <f>_xlfn.XLOOKUP(Tabla15[[#This Row],[GPS]],Hoja3!A:A,Hoja3!C:C)</f>
        <v>CAMPO RULO</v>
      </c>
      <c r="D688" s="12" t="s">
        <v>135</v>
      </c>
      <c r="E688" s="13">
        <v>46161</v>
      </c>
      <c r="F688" s="11">
        <v>3.4771999999999998</v>
      </c>
      <c r="G688" s="11">
        <v>39.94</v>
      </c>
      <c r="H688" s="11">
        <v>1</v>
      </c>
      <c r="I688" s="11">
        <v>17.835699999999999</v>
      </c>
      <c r="J688" s="11">
        <v>84.4512</v>
      </c>
      <c r="K688" s="11">
        <v>0.43</v>
      </c>
      <c r="L688" s="15">
        <f t="shared" si="10"/>
        <v>4.4377777777777778</v>
      </c>
      <c r="M688" s="14">
        <f>IF(Tabla15[[#This Row],[COMBUSTIBLE]]="PETRÓLEO",L688*$Q$2,L688*$Q$4)</f>
        <v>5329.7711111111112</v>
      </c>
      <c r="N688" s="12" t="str">
        <f>IF(OR(WEEKDAY(Tabla15[[#This Row],[Fecha]],2)=6,WEEKDAY(Tabla15[[#This Row],[Fecha]],2)=7),"Fin de semana","Semana")</f>
        <v>Semana</v>
      </c>
    </row>
    <row r="689" spans="1:14" ht="12.75" customHeight="1" x14ac:dyDescent="0.25">
      <c r="A689" s="11" t="str">
        <f>_xlfn.XLOOKUP(Tabla15[[#This Row],[GPS]],Hoja3!A:A,Hoja3!B:B)</f>
        <v>CAMIONETA</v>
      </c>
      <c r="B689" s="11" t="str">
        <f>_xlfn.XLOOKUP(GPS!D689,Hoja3!A:A,Hoja3!D:D)</f>
        <v>PETRÓLEO</v>
      </c>
      <c r="C689" s="12" t="str">
        <f>_xlfn.XLOOKUP(Tabla15[[#This Row],[GPS]],Hoja3!A:A,Hoja3!C:C)</f>
        <v>CAMPO PAINE</v>
      </c>
      <c r="D689" s="12" t="s">
        <v>131</v>
      </c>
      <c r="E689" s="13">
        <v>46161</v>
      </c>
      <c r="F689" s="11">
        <v>3.4628000000000001</v>
      </c>
      <c r="G689" s="11">
        <v>17.07</v>
      </c>
      <c r="H689" s="11">
        <v>1</v>
      </c>
      <c r="I689" s="11">
        <v>16.691700000000001</v>
      </c>
      <c r="J689" s="11">
        <v>56</v>
      </c>
      <c r="K689" s="11">
        <v>0.43</v>
      </c>
      <c r="L689" s="15">
        <f t="shared" si="10"/>
        <v>1.8966666666666667</v>
      </c>
      <c r="M689" s="14">
        <f>IF(Tabla15[[#This Row],[COMBUSTIBLE]]="PETRÓLEO",L689*$Q$2,L689*$Q$4)</f>
        <v>2277.8966666666665</v>
      </c>
      <c r="N689" s="12" t="str">
        <f>IF(OR(WEEKDAY(Tabla15[[#This Row],[Fecha]],2)=6,WEEKDAY(Tabla15[[#This Row],[Fecha]],2)=7),"Fin de semana","Semana")</f>
        <v>Semana</v>
      </c>
    </row>
    <row r="690" spans="1:14" ht="12.75" customHeight="1" x14ac:dyDescent="0.25">
      <c r="A690" s="11" t="str">
        <f>_xlfn.XLOOKUP(Tabla15[[#This Row],[GPS]],Hoja3!A:A,Hoja3!B:B)</f>
        <v>TRACTOR</v>
      </c>
      <c r="B690" s="11" t="str">
        <f>_xlfn.XLOOKUP(GPS!D690,Hoja3!A:A,Hoja3!D:D)</f>
        <v>PETRÓLEO</v>
      </c>
      <c r="C690" s="12" t="str">
        <f>_xlfn.XLOOKUP(Tabla15[[#This Row],[GPS]],Hoja3!A:A,Hoja3!C:C)</f>
        <v>T8</v>
      </c>
      <c r="D690" s="12" t="s">
        <v>27</v>
      </c>
      <c r="E690" s="13">
        <v>46168</v>
      </c>
      <c r="F690" s="11">
        <v>3.3622000000000001</v>
      </c>
      <c r="G690" s="11">
        <v>14.31</v>
      </c>
      <c r="H690" s="11">
        <v>1</v>
      </c>
      <c r="I690" s="11">
        <v>7.1207000000000003</v>
      </c>
      <c r="J690" s="11">
        <v>39.114199999999997</v>
      </c>
      <c r="K690" s="11">
        <v>0.42</v>
      </c>
      <c r="L690" s="15">
        <f t="shared" si="10"/>
        <v>2.3850000000000002</v>
      </c>
      <c r="M690" s="14">
        <f>IF(Tabla15[[#This Row],[COMBUSTIBLE]]="PETRÓLEO",L690*$Q$2,L690*$Q$4)</f>
        <v>2864.3850000000002</v>
      </c>
      <c r="N690" s="12" t="str">
        <f>IF(OR(WEEKDAY(Tabla15[[#This Row],[Fecha]],2)=6,WEEKDAY(Tabla15[[#This Row],[Fecha]],2)=7),"Fin de semana","Semana")</f>
        <v>Semana</v>
      </c>
    </row>
    <row r="691" spans="1:14" ht="12.75" customHeight="1" x14ac:dyDescent="0.25">
      <c r="A691" s="11" t="str">
        <f>_xlfn.XLOOKUP(Tabla15[[#This Row],[GPS]],Hoja3!A:A,Hoja3!B:B)</f>
        <v>CAMIONETA</v>
      </c>
      <c r="B691" s="11" t="str">
        <f>_xlfn.XLOOKUP(GPS!D691,Hoja3!A:A,Hoja3!D:D)</f>
        <v>PETRÓLEO</v>
      </c>
      <c r="C691" s="12" t="str">
        <f>_xlfn.XLOOKUP(Tabla15[[#This Row],[GPS]],Hoja3!A:A,Hoja3!C:C)</f>
        <v>RODRIGO SALINAS</v>
      </c>
      <c r="D691" s="12" t="s">
        <v>109</v>
      </c>
      <c r="E691" s="13">
        <v>46163</v>
      </c>
      <c r="F691" s="11">
        <v>3.3527999999999998</v>
      </c>
      <c r="G691" s="11">
        <v>147</v>
      </c>
      <c r="H691" s="11">
        <v>1</v>
      </c>
      <c r="I691" s="11">
        <v>49.905799999999999</v>
      </c>
      <c r="J691" s="11">
        <v>183.81100000000001</v>
      </c>
      <c r="K691" s="11">
        <v>0.42</v>
      </c>
      <c r="L691" s="15">
        <f t="shared" si="10"/>
        <v>16.333333333333332</v>
      </c>
      <c r="M691" s="14">
        <f>IF(Tabla15[[#This Row],[COMBUSTIBLE]]="PETRÓLEO",L691*$Q$2,L691*$Q$4)</f>
        <v>19616.333333333332</v>
      </c>
      <c r="N691" s="12" t="str">
        <f>IF(OR(WEEKDAY(Tabla15[[#This Row],[Fecha]],2)=6,WEEKDAY(Tabla15[[#This Row],[Fecha]],2)=7),"Fin de semana","Semana")</f>
        <v>Semana</v>
      </c>
    </row>
    <row r="692" spans="1:14" ht="12.75" customHeight="1" x14ac:dyDescent="0.25">
      <c r="A692" s="11" t="str">
        <f>_xlfn.XLOOKUP(Tabla15[[#This Row],[GPS]],Hoja3!A:A,Hoja3!B:B)</f>
        <v>TRACTOR</v>
      </c>
      <c r="B692" s="11" t="str">
        <f>_xlfn.XLOOKUP(GPS!D692,Hoja3!A:A,Hoja3!D:D)</f>
        <v>PETRÓLEO</v>
      </c>
      <c r="C692" s="12" t="str">
        <f>_xlfn.XLOOKUP(Tabla15[[#This Row],[GPS]],Hoja3!A:A,Hoja3!C:C)</f>
        <v>T14</v>
      </c>
      <c r="D692" s="12" t="s">
        <v>21</v>
      </c>
      <c r="E692" s="13">
        <v>46161</v>
      </c>
      <c r="F692" s="11">
        <v>3.3208000000000002</v>
      </c>
      <c r="G692" s="11">
        <v>14.97</v>
      </c>
      <c r="H692" s="11">
        <v>1</v>
      </c>
      <c r="I692" s="11">
        <v>6.1055000000000001</v>
      </c>
      <c r="J692" s="11">
        <v>74.135599999999997</v>
      </c>
      <c r="K692" s="11">
        <v>0.42</v>
      </c>
      <c r="L692" s="15">
        <f t="shared" si="10"/>
        <v>2.4950000000000001</v>
      </c>
      <c r="M692" s="14">
        <f>IF(Tabla15[[#This Row],[COMBUSTIBLE]]="PETRÓLEO",L692*$Q$2,L692*$Q$4)</f>
        <v>2996.4950000000003</v>
      </c>
      <c r="N692" s="12" t="str">
        <f>IF(OR(WEEKDAY(Tabla15[[#This Row],[Fecha]],2)=6,WEEKDAY(Tabla15[[#This Row],[Fecha]],2)=7),"Fin de semana","Semana")</f>
        <v>Semana</v>
      </c>
    </row>
    <row r="693" spans="1:14" ht="12.75" customHeight="1" x14ac:dyDescent="0.25">
      <c r="A693" s="11" t="str">
        <f>_xlfn.XLOOKUP(Tabla15[[#This Row],[GPS]],Hoja3!A:A,Hoja3!B:B)</f>
        <v>TRACTOR</v>
      </c>
      <c r="B693" s="11" t="str">
        <f>_xlfn.XLOOKUP(GPS!D693,Hoja3!A:A,Hoja3!D:D)</f>
        <v>PETRÓLEO</v>
      </c>
      <c r="C693" s="12" t="str">
        <f>_xlfn.XLOOKUP(Tabla15[[#This Row],[GPS]],Hoja3!A:A,Hoja3!C:C)</f>
        <v>T6</v>
      </c>
      <c r="D693" s="12" t="s">
        <v>25</v>
      </c>
      <c r="E693" s="13">
        <v>46162</v>
      </c>
      <c r="F693" s="11">
        <v>3.03</v>
      </c>
      <c r="G693" s="11">
        <v>7.72</v>
      </c>
      <c r="H693" s="11">
        <v>1</v>
      </c>
      <c r="I693" s="11">
        <v>6.7610000000000001</v>
      </c>
      <c r="J693" s="11">
        <v>16.167999999999999</v>
      </c>
      <c r="K693" s="11">
        <v>0.38</v>
      </c>
      <c r="L693" s="15">
        <f t="shared" si="10"/>
        <v>1.2866666666666666</v>
      </c>
      <c r="M693" s="14">
        <f>IF(Tabla15[[#This Row],[COMBUSTIBLE]]="PETRÓLEO",L693*$Q$2,L693*$Q$4)</f>
        <v>1545.2866666666666</v>
      </c>
      <c r="N693" s="12" t="str">
        <f>IF(OR(WEEKDAY(Tabla15[[#This Row],[Fecha]],2)=6,WEEKDAY(Tabla15[[#This Row],[Fecha]],2)=7),"Fin de semana","Semana")</f>
        <v>Semana</v>
      </c>
    </row>
    <row r="694" spans="1:14" ht="12.75" customHeight="1" x14ac:dyDescent="0.25">
      <c r="A694" s="11" t="str">
        <f>_xlfn.XLOOKUP(Tabla15[[#This Row],[GPS]],Hoja3!A:A,Hoja3!B:B)</f>
        <v>CAMIONETA</v>
      </c>
      <c r="B694" s="11" t="str">
        <f>_xlfn.XLOOKUP(GPS!D694,Hoja3!A:A,Hoja3!D:D)</f>
        <v>PETRÓLEO</v>
      </c>
      <c r="C694" s="12" t="str">
        <f>_xlfn.XLOOKUP(Tabla15[[#This Row],[GPS]],Hoja3!A:A,Hoja3!C:C)</f>
        <v>CAMPO RULO</v>
      </c>
      <c r="D694" s="12" t="s">
        <v>135</v>
      </c>
      <c r="E694" s="13">
        <v>46168</v>
      </c>
      <c r="F694" s="11">
        <v>2.9944000000000002</v>
      </c>
      <c r="G694" s="11">
        <v>42.52</v>
      </c>
      <c r="H694" s="11">
        <v>1</v>
      </c>
      <c r="I694" s="11">
        <v>17.834900000000001</v>
      </c>
      <c r="J694" s="11">
        <v>97.692999999999998</v>
      </c>
      <c r="K694" s="11">
        <v>0.37</v>
      </c>
      <c r="L694" s="15">
        <f t="shared" si="10"/>
        <v>4.7244444444444449</v>
      </c>
      <c r="M694" s="14">
        <f>IF(Tabla15[[#This Row],[COMBUSTIBLE]]="PETRÓLEO",L694*$Q$2,L694*$Q$4)</f>
        <v>5674.057777777778</v>
      </c>
      <c r="N694" s="12" t="str">
        <f>IF(OR(WEEKDAY(Tabla15[[#This Row],[Fecha]],2)=6,WEEKDAY(Tabla15[[#This Row],[Fecha]],2)=7),"Fin de semana","Semana")</f>
        <v>Semana</v>
      </c>
    </row>
    <row r="695" spans="1:14" ht="12.75" customHeight="1" x14ac:dyDescent="0.25">
      <c r="A695" s="11" t="str">
        <f>_xlfn.XLOOKUP(Tabla15[[#This Row],[GPS]],Hoja3!A:A,Hoja3!B:B)</f>
        <v>TRACTOR</v>
      </c>
      <c r="B695" s="11" t="str">
        <f>_xlfn.XLOOKUP(GPS!D695,Hoja3!A:A,Hoja3!D:D)</f>
        <v>PETRÓLEO</v>
      </c>
      <c r="C695" s="12" t="str">
        <f>_xlfn.XLOOKUP(Tabla15[[#This Row],[GPS]],Hoja3!A:A,Hoja3!C:C)</f>
        <v>T14</v>
      </c>
      <c r="D695" s="12" t="s">
        <v>21</v>
      </c>
      <c r="E695" s="13">
        <v>46162</v>
      </c>
      <c r="F695" s="11">
        <v>2.9639000000000002</v>
      </c>
      <c r="G695" s="11">
        <v>10.95</v>
      </c>
      <c r="H695" s="11">
        <v>1</v>
      </c>
      <c r="I695" s="11">
        <v>5.0213000000000001</v>
      </c>
      <c r="J695" s="11">
        <v>34.7806</v>
      </c>
      <c r="K695" s="11">
        <v>0.37</v>
      </c>
      <c r="L695" s="15">
        <f t="shared" si="10"/>
        <v>1.825</v>
      </c>
      <c r="M695" s="14">
        <f>IF(Tabla15[[#This Row],[COMBUSTIBLE]]="PETRÓLEO",L695*$Q$2,L695*$Q$4)</f>
        <v>2191.8249999999998</v>
      </c>
      <c r="N695" s="12" t="str">
        <f>IF(OR(WEEKDAY(Tabla15[[#This Row],[Fecha]],2)=6,WEEKDAY(Tabla15[[#This Row],[Fecha]],2)=7),"Fin de semana","Semana")</f>
        <v>Semana</v>
      </c>
    </row>
    <row r="696" spans="1:14" ht="12.75" customHeight="1" x14ac:dyDescent="0.25">
      <c r="A696" s="11" t="str">
        <f>_xlfn.XLOOKUP(Tabla15[[#This Row],[GPS]],Hoja3!A:A,Hoja3!B:B)</f>
        <v>TRACTOR</v>
      </c>
      <c r="B696" s="11" t="str">
        <f>_xlfn.XLOOKUP(GPS!D696,Hoja3!A:A,Hoja3!D:D)</f>
        <v>PETRÓLEO</v>
      </c>
      <c r="C696" s="12" t="str">
        <f>_xlfn.XLOOKUP(Tabla15[[#This Row],[GPS]],Hoja3!A:A,Hoja3!C:C)</f>
        <v>T11</v>
      </c>
      <c r="D696" s="12" t="s">
        <v>15</v>
      </c>
      <c r="E696" s="13">
        <v>46169</v>
      </c>
      <c r="F696" s="11">
        <v>2.9481000000000002</v>
      </c>
      <c r="G696" s="11">
        <v>12.08</v>
      </c>
      <c r="H696" s="11">
        <v>1</v>
      </c>
      <c r="I696" s="11">
        <v>5.5613999999999999</v>
      </c>
      <c r="J696" s="11">
        <v>38.2438</v>
      </c>
      <c r="K696" s="11">
        <v>0.37</v>
      </c>
      <c r="L696" s="15">
        <f t="shared" si="10"/>
        <v>2.0133333333333332</v>
      </c>
      <c r="M696" s="14">
        <f>IF(Tabla15[[#This Row],[COMBUSTIBLE]]="PETRÓLEO",L696*$Q$2,L696*$Q$4)</f>
        <v>2418.0133333333333</v>
      </c>
      <c r="N696" s="12" t="str">
        <f>IF(OR(WEEKDAY(Tabla15[[#This Row],[Fecha]],2)=6,WEEKDAY(Tabla15[[#This Row],[Fecha]],2)=7),"Fin de semana","Semana")</f>
        <v>Semana</v>
      </c>
    </row>
    <row r="697" spans="1:14" ht="12.75" customHeight="1" x14ac:dyDescent="0.25">
      <c r="A697" s="11" t="str">
        <f>_xlfn.XLOOKUP(Tabla15[[#This Row],[GPS]],Hoja3!A:A,Hoja3!B:B)</f>
        <v>TRACTOR</v>
      </c>
      <c r="B697" s="11" t="str">
        <f>_xlfn.XLOOKUP(GPS!D697,Hoja3!A:A,Hoja3!D:D)</f>
        <v>PETRÓLEO</v>
      </c>
      <c r="C697" s="12" t="str">
        <f>_xlfn.XLOOKUP(Tabla15[[#This Row],[GPS]],Hoja3!A:A,Hoja3!C:C)</f>
        <v>T7</v>
      </c>
      <c r="D697" s="12" t="s">
        <v>26</v>
      </c>
      <c r="E697" s="13">
        <v>46170</v>
      </c>
      <c r="F697" s="11">
        <v>2.9363999999999999</v>
      </c>
      <c r="G697" s="11">
        <v>9.73</v>
      </c>
      <c r="H697" s="11">
        <v>1</v>
      </c>
      <c r="I697" s="11">
        <v>4.7773000000000003</v>
      </c>
      <c r="J697" s="11">
        <v>14.056699999999999</v>
      </c>
      <c r="K697" s="11">
        <v>0.37</v>
      </c>
      <c r="L697" s="15">
        <f t="shared" si="10"/>
        <v>1.6216666666666668</v>
      </c>
      <c r="M697" s="14">
        <f>IF(Tabla15[[#This Row],[COMBUSTIBLE]]="PETRÓLEO",L697*$Q$2,L697*$Q$4)</f>
        <v>1947.6216666666669</v>
      </c>
      <c r="N697" s="12" t="str">
        <f>IF(OR(WEEKDAY(Tabla15[[#This Row],[Fecha]],2)=6,WEEKDAY(Tabla15[[#This Row],[Fecha]],2)=7),"Fin de semana","Semana")</f>
        <v>Semana</v>
      </c>
    </row>
    <row r="698" spans="1:14" ht="12.75" customHeight="1" x14ac:dyDescent="0.25">
      <c r="A698" s="11" t="str">
        <f>_xlfn.XLOOKUP(Tabla15[[#This Row],[GPS]],Hoja3!A:A,Hoja3!B:B)</f>
        <v>TRACTOR</v>
      </c>
      <c r="B698" s="11" t="str">
        <f>_xlfn.XLOOKUP(GPS!D698,Hoja3!A:A,Hoja3!D:D)</f>
        <v>PETRÓLEO</v>
      </c>
      <c r="C698" s="12" t="str">
        <f>_xlfn.XLOOKUP(Tabla15[[#This Row],[GPS]],Hoja3!A:A,Hoja3!C:C)</f>
        <v>T5</v>
      </c>
      <c r="D698" s="12" t="s">
        <v>24</v>
      </c>
      <c r="E698" s="13">
        <v>46161</v>
      </c>
      <c r="F698" s="11">
        <v>2.8593999999999999</v>
      </c>
      <c r="G698" s="11">
        <v>12.79</v>
      </c>
      <c r="H698" s="11">
        <v>1</v>
      </c>
      <c r="I698" s="11">
        <v>5.1558000000000002</v>
      </c>
      <c r="J698" s="11">
        <v>29.594999999999999</v>
      </c>
      <c r="K698" s="11">
        <v>0.36</v>
      </c>
      <c r="L698" s="15">
        <f t="shared" si="10"/>
        <v>2.1316666666666664</v>
      </c>
      <c r="M698" s="14">
        <f>IF(Tabla15[[#This Row],[COMBUSTIBLE]]="PETRÓLEO",L698*$Q$2,L698*$Q$4)</f>
        <v>2560.1316666666662</v>
      </c>
      <c r="N698" s="12" t="str">
        <f>IF(OR(WEEKDAY(Tabla15[[#This Row],[Fecha]],2)=6,WEEKDAY(Tabla15[[#This Row],[Fecha]],2)=7),"Fin de semana","Semana")</f>
        <v>Semana</v>
      </c>
    </row>
    <row r="699" spans="1:14" ht="12.75" customHeight="1" x14ac:dyDescent="0.25">
      <c r="A699" s="11" t="str">
        <f>_xlfn.XLOOKUP(Tabla15[[#This Row],[GPS]],Hoja3!A:A,Hoja3!B:B)</f>
        <v>TRACTOR</v>
      </c>
      <c r="B699" s="11" t="str">
        <f>_xlfn.XLOOKUP(GPS!D699,Hoja3!A:A,Hoja3!D:D)</f>
        <v>PETRÓLEO</v>
      </c>
      <c r="C699" s="12" t="str">
        <f>_xlfn.XLOOKUP(Tabla15[[#This Row],[GPS]],Hoja3!A:A,Hoja3!C:C)</f>
        <v>T11</v>
      </c>
      <c r="D699" s="12" t="s">
        <v>15</v>
      </c>
      <c r="E699" s="13">
        <v>46170</v>
      </c>
      <c r="F699" s="11">
        <v>2.7650000000000001</v>
      </c>
      <c r="G699" s="11">
        <v>6.05</v>
      </c>
      <c r="H699" s="11">
        <v>1</v>
      </c>
      <c r="I699" s="11">
        <v>5.5338000000000003</v>
      </c>
      <c r="J699" s="11">
        <v>18.094000000000001</v>
      </c>
      <c r="K699" s="11">
        <v>0.35</v>
      </c>
      <c r="L699" s="15">
        <f t="shared" si="10"/>
        <v>1.0083333333333333</v>
      </c>
      <c r="M699" s="14">
        <f>IF(Tabla15[[#This Row],[COMBUSTIBLE]]="PETRÓLEO",L699*$Q$2,L699*$Q$4)</f>
        <v>1211.0083333333332</v>
      </c>
      <c r="N699" s="12" t="str">
        <f>IF(OR(WEEKDAY(Tabla15[[#This Row],[Fecha]],2)=6,WEEKDAY(Tabla15[[#This Row],[Fecha]],2)=7),"Fin de semana","Semana")</f>
        <v>Semana</v>
      </c>
    </row>
    <row r="700" spans="1:14" ht="12.75" customHeight="1" x14ac:dyDescent="0.25">
      <c r="A700" s="11" t="str">
        <f>_xlfn.XLOOKUP(Tabla15[[#This Row],[GPS]],Hoja3!A:A,Hoja3!B:B)</f>
        <v>CAMIONETA</v>
      </c>
      <c r="B700" s="11" t="str">
        <f>_xlfn.XLOOKUP(GPS!D700,Hoja3!A:A,Hoja3!D:D)</f>
        <v>PETRÓLEO</v>
      </c>
      <c r="C700" s="12" t="str">
        <f>_xlfn.XLOOKUP(Tabla15[[#This Row],[GPS]],Hoja3!A:A,Hoja3!C:C)</f>
        <v>CAMPO RULO</v>
      </c>
      <c r="D700" s="12" t="s">
        <v>135</v>
      </c>
      <c r="E700" s="13">
        <v>46162</v>
      </c>
      <c r="F700" s="11">
        <v>2.7572000000000001</v>
      </c>
      <c r="G700" s="11">
        <v>34.51</v>
      </c>
      <c r="H700" s="11">
        <v>1</v>
      </c>
      <c r="I700" s="11">
        <v>20.0379</v>
      </c>
      <c r="J700" s="11">
        <v>95.303899999999999</v>
      </c>
      <c r="K700" s="11">
        <v>0.34</v>
      </c>
      <c r="L700" s="15">
        <f t="shared" si="10"/>
        <v>3.8344444444444443</v>
      </c>
      <c r="M700" s="14">
        <f>IF(Tabla15[[#This Row],[COMBUSTIBLE]]="PETRÓLEO",L700*$Q$2,L700*$Q$4)</f>
        <v>4605.1677777777777</v>
      </c>
      <c r="N700" s="12" t="str">
        <f>IF(OR(WEEKDAY(Tabla15[[#This Row],[Fecha]],2)=6,WEEKDAY(Tabla15[[#This Row],[Fecha]],2)=7),"Fin de semana","Semana")</f>
        <v>Semana</v>
      </c>
    </row>
    <row r="701" spans="1:14" ht="12.75" customHeight="1" x14ac:dyDescent="0.25">
      <c r="A701" s="11" t="str">
        <f>_xlfn.XLOOKUP(Tabla15[[#This Row],[GPS]],Hoja3!A:A,Hoja3!B:B)</f>
        <v>CAMIONETA</v>
      </c>
      <c r="B701" s="11" t="str">
        <f>_xlfn.XLOOKUP(GPS!D701,Hoja3!A:A,Hoja3!D:D)</f>
        <v>PETRÓLEO</v>
      </c>
      <c r="C701" s="12" t="str">
        <f>_xlfn.XLOOKUP(Tabla15[[#This Row],[GPS]],Hoja3!A:A,Hoja3!C:C)</f>
        <v>GONZALO GUERRERO</v>
      </c>
      <c r="D701" s="12" t="s">
        <v>126</v>
      </c>
      <c r="E701" s="13">
        <v>46161</v>
      </c>
      <c r="F701" s="11">
        <v>2.6856</v>
      </c>
      <c r="G701" s="11">
        <v>39.65</v>
      </c>
      <c r="H701" s="11">
        <v>1</v>
      </c>
      <c r="I701" s="11">
        <v>28.892700000000001</v>
      </c>
      <c r="J701" s="11">
        <v>110.0001</v>
      </c>
      <c r="K701" s="11">
        <v>0.34</v>
      </c>
      <c r="L701" s="15">
        <f t="shared" si="10"/>
        <v>4.405555555555555</v>
      </c>
      <c r="M701" s="14">
        <f>IF(Tabla15[[#This Row],[COMBUSTIBLE]]="PETRÓLEO",L701*$Q$2,L701*$Q$4)</f>
        <v>5291.0722222222212</v>
      </c>
      <c r="N701" s="12" t="str">
        <f>IF(OR(WEEKDAY(Tabla15[[#This Row],[Fecha]],2)=6,WEEKDAY(Tabla15[[#This Row],[Fecha]],2)=7),"Fin de semana","Semana")</f>
        <v>Semana</v>
      </c>
    </row>
    <row r="702" spans="1:14" ht="12.75" customHeight="1" x14ac:dyDescent="0.25">
      <c r="A702" s="11" t="str">
        <f>_xlfn.XLOOKUP(Tabla15[[#This Row],[GPS]],Hoja3!A:A,Hoja3!B:B)</f>
        <v>TRACTOR</v>
      </c>
      <c r="B702" s="11" t="str">
        <f>_xlfn.XLOOKUP(GPS!D702,Hoja3!A:A,Hoja3!D:D)</f>
        <v>PETRÓLEO</v>
      </c>
      <c r="C702" s="12" t="str">
        <f>_xlfn.XLOOKUP(Tabla15[[#This Row],[GPS]],Hoja3!A:A,Hoja3!C:C)</f>
        <v>T7</v>
      </c>
      <c r="D702" s="12" t="s">
        <v>26</v>
      </c>
      <c r="E702" s="13">
        <v>46161</v>
      </c>
      <c r="F702" s="11">
        <v>2.3405999999999998</v>
      </c>
      <c r="G702" s="11">
        <v>7.95</v>
      </c>
      <c r="H702" s="11">
        <v>1</v>
      </c>
      <c r="I702" s="11">
        <v>5.9680999999999997</v>
      </c>
      <c r="J702" s="11">
        <v>18.353300000000001</v>
      </c>
      <c r="K702" s="11">
        <v>0.28999999999999998</v>
      </c>
      <c r="L702" s="15">
        <f t="shared" si="10"/>
        <v>1.325</v>
      </c>
      <c r="M702" s="14">
        <f>IF(Tabla15[[#This Row],[COMBUSTIBLE]]="PETRÓLEO",L702*$Q$2,L702*$Q$4)</f>
        <v>1591.325</v>
      </c>
      <c r="N702" s="12" t="str">
        <f>IF(OR(WEEKDAY(Tabla15[[#This Row],[Fecha]],2)=6,WEEKDAY(Tabla15[[#This Row],[Fecha]],2)=7),"Fin de semana","Semana")</f>
        <v>Semana</v>
      </c>
    </row>
    <row r="703" spans="1:14" ht="12.75" customHeight="1" x14ac:dyDescent="0.25">
      <c r="A703" s="11" t="str">
        <f>_xlfn.XLOOKUP(Tabla15[[#This Row],[GPS]],Hoja3!A:A,Hoja3!B:B)</f>
        <v>TRACTOR</v>
      </c>
      <c r="B703" s="11" t="str">
        <f>_xlfn.XLOOKUP(GPS!D703,Hoja3!A:A,Hoja3!D:D)</f>
        <v>PETRÓLEO</v>
      </c>
      <c r="C703" s="12" t="str">
        <f>_xlfn.XLOOKUP(Tabla15[[#This Row],[GPS]],Hoja3!A:A,Hoja3!C:C)</f>
        <v>T13</v>
      </c>
      <c r="D703" s="12" t="s">
        <v>19</v>
      </c>
      <c r="E703" s="13">
        <v>46161</v>
      </c>
      <c r="F703" s="11">
        <v>2.3119000000000001</v>
      </c>
      <c r="G703" s="11">
        <v>5.6</v>
      </c>
      <c r="H703" s="11">
        <v>1</v>
      </c>
      <c r="I703" s="11">
        <v>4.1463000000000001</v>
      </c>
      <c r="J703" s="11">
        <v>15.779</v>
      </c>
      <c r="K703" s="11">
        <v>0.28999999999999998</v>
      </c>
      <c r="L703" s="15">
        <f t="shared" si="10"/>
        <v>0.93333333333333324</v>
      </c>
      <c r="M703" s="14">
        <f>IF(Tabla15[[#This Row],[COMBUSTIBLE]]="PETRÓLEO",L703*$Q$2,L703*$Q$4)</f>
        <v>1120.9333333333332</v>
      </c>
      <c r="N703" s="12" t="str">
        <f>IF(OR(WEEKDAY(Tabla15[[#This Row],[Fecha]],2)=6,WEEKDAY(Tabla15[[#This Row],[Fecha]],2)=7),"Fin de semana","Semana")</f>
        <v>Semana</v>
      </c>
    </row>
    <row r="704" spans="1:14" ht="12.75" customHeight="1" x14ac:dyDescent="0.25">
      <c r="A704" s="11" t="str">
        <f>_xlfn.XLOOKUP(Tabla15[[#This Row],[GPS]],Hoja3!A:A,Hoja3!B:B)</f>
        <v>CAMIONETA</v>
      </c>
      <c r="B704" s="11" t="str">
        <f>_xlfn.XLOOKUP(GPS!D704,Hoja3!A:A,Hoja3!D:D)</f>
        <v>PETRÓLEO</v>
      </c>
      <c r="C704" s="12" t="str">
        <f>_xlfn.XLOOKUP(Tabla15[[#This Row],[GPS]],Hoja3!A:A,Hoja3!C:C)</f>
        <v>CAMPO CERRILLOS</v>
      </c>
      <c r="D704" s="12" t="s">
        <v>121</v>
      </c>
      <c r="E704" s="13">
        <v>46164</v>
      </c>
      <c r="F704" s="11">
        <v>2.2397</v>
      </c>
      <c r="G704" s="11">
        <v>34.97</v>
      </c>
      <c r="H704" s="11">
        <v>1</v>
      </c>
      <c r="I704" s="11">
        <v>27.207100000000001</v>
      </c>
      <c r="J704" s="11">
        <v>95</v>
      </c>
      <c r="K704" s="11">
        <v>0.28000000000000003</v>
      </c>
      <c r="L704" s="15">
        <f t="shared" si="10"/>
        <v>3.8855555555555554</v>
      </c>
      <c r="M704" s="14">
        <f>IF(Tabla15[[#This Row],[COMBUSTIBLE]]="PETRÓLEO",L704*$Q$2,L704*$Q$4)</f>
        <v>4666.5522222222216</v>
      </c>
      <c r="N704" s="12" t="str">
        <f>IF(OR(WEEKDAY(Tabla15[[#This Row],[Fecha]],2)=6,WEEKDAY(Tabla15[[#This Row],[Fecha]],2)=7),"Fin de semana","Semana")</f>
        <v>Semana</v>
      </c>
    </row>
    <row r="705" spans="1:14" ht="12.75" customHeight="1" x14ac:dyDescent="0.25">
      <c r="A705" s="11" t="str">
        <f>_xlfn.XLOOKUP(Tabla15[[#This Row],[GPS]],Hoja3!A:A,Hoja3!B:B)</f>
        <v>CAMIONETA</v>
      </c>
      <c r="B705" s="11" t="str">
        <f>_xlfn.XLOOKUP(GPS!D705,Hoja3!A:A,Hoja3!D:D)</f>
        <v>PETRÓLEO</v>
      </c>
      <c r="C705" s="12" t="str">
        <f>_xlfn.XLOOKUP(Tabla15[[#This Row],[GPS]],Hoja3!A:A,Hoja3!C:C)</f>
        <v>CAMPO CERRILLOS</v>
      </c>
      <c r="D705" s="12" t="s">
        <v>121</v>
      </c>
      <c r="E705" s="13">
        <v>46163</v>
      </c>
      <c r="F705" s="11">
        <v>2.1922000000000001</v>
      </c>
      <c r="G705" s="11">
        <v>36.93</v>
      </c>
      <c r="H705" s="11">
        <v>1</v>
      </c>
      <c r="I705" s="11">
        <v>24.840599999999998</v>
      </c>
      <c r="J705" s="11">
        <v>91.000100000000003</v>
      </c>
      <c r="K705" s="11">
        <v>0.27</v>
      </c>
      <c r="L705" s="15">
        <f t="shared" si="10"/>
        <v>4.1033333333333335</v>
      </c>
      <c r="M705" s="14">
        <f>IF(Tabla15[[#This Row],[COMBUSTIBLE]]="PETRÓLEO",L705*$Q$2,L705*$Q$4)</f>
        <v>4928.1033333333335</v>
      </c>
      <c r="N705" s="12" t="str">
        <f>IF(OR(WEEKDAY(Tabla15[[#This Row],[Fecha]],2)=6,WEEKDAY(Tabla15[[#This Row],[Fecha]],2)=7),"Fin de semana","Semana")</f>
        <v>Semana</v>
      </c>
    </row>
    <row r="706" spans="1:14" ht="12.75" customHeight="1" x14ac:dyDescent="0.25">
      <c r="A706" s="11" t="str">
        <f>_xlfn.XLOOKUP(Tabla15[[#This Row],[GPS]],Hoja3!A:A,Hoja3!B:B)</f>
        <v>TRACTOR</v>
      </c>
      <c r="B706" s="11" t="str">
        <f>_xlfn.XLOOKUP(GPS!D706,Hoja3!A:A,Hoja3!D:D)</f>
        <v>PETRÓLEO</v>
      </c>
      <c r="C706" s="12" t="str">
        <f>_xlfn.XLOOKUP(Tabla15[[#This Row],[GPS]],Hoja3!A:A,Hoja3!C:C)</f>
        <v>T8</v>
      </c>
      <c r="D706" s="12" t="s">
        <v>27</v>
      </c>
      <c r="E706" s="13">
        <v>46161</v>
      </c>
      <c r="F706" s="11">
        <v>2.1543999999999999</v>
      </c>
      <c r="G706" s="11">
        <v>7.73</v>
      </c>
      <c r="H706" s="11">
        <v>1</v>
      </c>
      <c r="I706" s="11">
        <v>6.8207000000000004</v>
      </c>
      <c r="J706" s="11">
        <v>33.428600000000003</v>
      </c>
      <c r="K706" s="11">
        <v>0.27</v>
      </c>
      <c r="L706" s="15">
        <f t="shared" ref="L706:L751" si="11">IF(AND(A706="CAMIONETA",B706="BENCINA"),G706/$Q$5,IF(A706="TRACTOR",G706/$Q$3,G706/$Q$1))</f>
        <v>1.2883333333333333</v>
      </c>
      <c r="M706" s="14">
        <f>IF(Tabla15[[#This Row],[COMBUSTIBLE]]="PETRÓLEO",L706*$Q$2,L706*$Q$4)</f>
        <v>1547.2883333333334</v>
      </c>
      <c r="N706" s="12" t="str">
        <f>IF(OR(WEEKDAY(Tabla15[[#This Row],[Fecha]],2)=6,WEEKDAY(Tabla15[[#This Row],[Fecha]],2)=7),"Fin de semana","Semana")</f>
        <v>Semana</v>
      </c>
    </row>
    <row r="707" spans="1:14" ht="12.75" customHeight="1" x14ac:dyDescent="0.25">
      <c r="A707" s="11" t="str">
        <f>_xlfn.XLOOKUP(Tabla15[[#This Row],[GPS]],Hoja3!A:A,Hoja3!B:B)</f>
        <v>TRACTOR</v>
      </c>
      <c r="B707" s="11" t="str">
        <f>_xlfn.XLOOKUP(GPS!D707,Hoja3!A:A,Hoja3!D:D)</f>
        <v>PETRÓLEO</v>
      </c>
      <c r="C707" s="12" t="str">
        <f>_xlfn.XLOOKUP(Tabla15[[#This Row],[GPS]],Hoja3!A:A,Hoja3!C:C)</f>
        <v>T11</v>
      </c>
      <c r="D707" s="12" t="s">
        <v>15</v>
      </c>
      <c r="E707" s="13">
        <v>46161</v>
      </c>
      <c r="F707" s="11">
        <v>2.1002999999999998</v>
      </c>
      <c r="G707" s="11">
        <v>11.53</v>
      </c>
      <c r="H707" s="11">
        <v>1</v>
      </c>
      <c r="I707" s="11">
        <v>7.0126999999999997</v>
      </c>
      <c r="J707" s="11">
        <v>22.575900000000001</v>
      </c>
      <c r="K707" s="11">
        <v>0.26</v>
      </c>
      <c r="L707" s="15">
        <f t="shared" si="11"/>
        <v>1.9216666666666666</v>
      </c>
      <c r="M707" s="14">
        <f>IF(Tabla15[[#This Row],[COMBUSTIBLE]]="PETRÓLEO",L707*$Q$2,L707*$Q$4)</f>
        <v>2307.9216666666666</v>
      </c>
      <c r="N707" s="12" t="str">
        <f>IF(OR(WEEKDAY(Tabla15[[#This Row],[Fecha]],2)=6,WEEKDAY(Tabla15[[#This Row],[Fecha]],2)=7),"Fin de semana","Semana")</f>
        <v>Semana</v>
      </c>
    </row>
    <row r="708" spans="1:14" ht="12.75" customHeight="1" x14ac:dyDescent="0.25">
      <c r="A708" s="11" t="str">
        <f>_xlfn.XLOOKUP(Tabla15[[#This Row],[GPS]],Hoja3!A:A,Hoja3!B:B)</f>
        <v>TRACTOR</v>
      </c>
      <c r="B708" s="11" t="str">
        <f>_xlfn.XLOOKUP(GPS!D708,Hoja3!A:A,Hoja3!D:D)</f>
        <v>PETRÓLEO</v>
      </c>
      <c r="C708" s="12" t="str">
        <f>_xlfn.XLOOKUP(Tabla15[[#This Row],[GPS]],Hoja3!A:A,Hoja3!C:C)</f>
        <v>T14</v>
      </c>
      <c r="D708" s="12" t="s">
        <v>21</v>
      </c>
      <c r="E708" s="13">
        <v>46170</v>
      </c>
      <c r="F708" s="11">
        <v>2.0811000000000002</v>
      </c>
      <c r="G708" s="11">
        <v>19.82</v>
      </c>
      <c r="H708" s="11">
        <v>1</v>
      </c>
      <c r="I708" s="11">
        <v>13.493399999999999</v>
      </c>
      <c r="J708" s="11">
        <v>40.558799999999998</v>
      </c>
      <c r="K708" s="11">
        <v>0.26</v>
      </c>
      <c r="L708" s="15">
        <f t="shared" si="11"/>
        <v>3.3033333333333332</v>
      </c>
      <c r="M708" s="14">
        <f>IF(Tabla15[[#This Row],[COMBUSTIBLE]]="PETRÓLEO",L708*$Q$2,L708*$Q$4)</f>
        <v>3967.3033333333333</v>
      </c>
      <c r="N708" s="12" t="str">
        <f>IF(OR(WEEKDAY(Tabla15[[#This Row],[Fecha]],2)=6,WEEKDAY(Tabla15[[#This Row],[Fecha]],2)=7),"Fin de semana","Semana")</f>
        <v>Semana</v>
      </c>
    </row>
    <row r="709" spans="1:14" ht="12.75" customHeight="1" x14ac:dyDescent="0.25">
      <c r="A709" s="11" t="str">
        <f>_xlfn.XLOOKUP(Tabla15[[#This Row],[GPS]],Hoja3!A:A,Hoja3!B:B)</f>
        <v>CAMIONETA</v>
      </c>
      <c r="B709" s="11" t="str">
        <f>_xlfn.XLOOKUP(GPS!D709,Hoja3!A:A,Hoja3!D:D)</f>
        <v>PETRÓLEO</v>
      </c>
      <c r="C709" s="12" t="str">
        <f>_xlfn.XLOOKUP(Tabla15[[#This Row],[GPS]],Hoja3!A:A,Hoja3!C:C)</f>
        <v>CAMPO PAINE</v>
      </c>
      <c r="D709" s="12" t="s">
        <v>131</v>
      </c>
      <c r="E709" s="13">
        <v>46168</v>
      </c>
      <c r="F709" s="11">
        <v>1.5647</v>
      </c>
      <c r="G709" s="11">
        <v>15.55</v>
      </c>
      <c r="H709" s="11">
        <v>1</v>
      </c>
      <c r="I709" s="11">
        <v>14.417</v>
      </c>
      <c r="J709" s="11">
        <v>67.505399999999995</v>
      </c>
      <c r="K709" s="11">
        <v>0.2</v>
      </c>
      <c r="L709" s="15">
        <f t="shared" si="11"/>
        <v>1.7277777777777779</v>
      </c>
      <c r="M709" s="14">
        <f>IF(Tabla15[[#This Row],[COMBUSTIBLE]]="PETRÓLEO",L709*$Q$2,L709*$Q$4)</f>
        <v>2075.0611111111111</v>
      </c>
      <c r="N709" s="12" t="str">
        <f>IF(OR(WEEKDAY(Tabla15[[#This Row],[Fecha]],2)=6,WEEKDAY(Tabla15[[#This Row],[Fecha]],2)=7),"Fin de semana","Semana")</f>
        <v>Semana</v>
      </c>
    </row>
    <row r="710" spans="1:14" ht="12.75" customHeight="1" x14ac:dyDescent="0.25">
      <c r="A710" s="11" t="str">
        <f>_xlfn.XLOOKUP(Tabla15[[#This Row],[GPS]],Hoja3!A:A,Hoja3!B:B)</f>
        <v>TRACTOR</v>
      </c>
      <c r="B710" s="11" t="str">
        <f>_xlfn.XLOOKUP(GPS!D710,Hoja3!A:A,Hoja3!D:D)</f>
        <v>PETRÓLEO</v>
      </c>
      <c r="C710" s="12" t="str">
        <f>_xlfn.XLOOKUP(Tabla15[[#This Row],[GPS]],Hoja3!A:A,Hoja3!C:C)</f>
        <v>T13</v>
      </c>
      <c r="D710" s="12" t="s">
        <v>19</v>
      </c>
      <c r="E710" s="13">
        <v>46169</v>
      </c>
      <c r="F710" s="11">
        <v>1.5414000000000001</v>
      </c>
      <c r="G710" s="11">
        <v>6.9</v>
      </c>
      <c r="H710" s="11">
        <v>1</v>
      </c>
      <c r="I710" s="11">
        <v>7.3573000000000004</v>
      </c>
      <c r="J710" s="11">
        <v>20.094200000000001</v>
      </c>
      <c r="K710" s="11">
        <v>0.19</v>
      </c>
      <c r="L710" s="15">
        <f t="shared" si="11"/>
        <v>1.1500000000000001</v>
      </c>
      <c r="M710" s="14">
        <f>IF(Tabla15[[#This Row],[COMBUSTIBLE]]="PETRÓLEO",L710*$Q$2,L710*$Q$4)</f>
        <v>1381.15</v>
      </c>
      <c r="N710" s="12" t="str">
        <f>IF(OR(WEEKDAY(Tabla15[[#This Row],[Fecha]],2)=6,WEEKDAY(Tabla15[[#This Row],[Fecha]],2)=7),"Fin de semana","Semana")</f>
        <v>Semana</v>
      </c>
    </row>
    <row r="711" spans="1:14" ht="12.75" customHeight="1" x14ac:dyDescent="0.25">
      <c r="A711" s="11" t="str">
        <f>_xlfn.XLOOKUP(Tabla15[[#This Row],[GPS]],Hoja3!A:A,Hoja3!B:B)</f>
        <v>TRACTOR</v>
      </c>
      <c r="B711" s="11" t="str">
        <f>_xlfn.XLOOKUP(GPS!D711,Hoja3!A:A,Hoja3!D:D)</f>
        <v>PETRÓLEO</v>
      </c>
      <c r="C711" s="12" t="str">
        <f>_xlfn.XLOOKUP(Tabla15[[#This Row],[GPS]],Hoja3!A:A,Hoja3!C:C)</f>
        <v>T13</v>
      </c>
      <c r="D711" s="12" t="s">
        <v>19</v>
      </c>
      <c r="E711" s="13">
        <v>46170</v>
      </c>
      <c r="F711" s="11">
        <v>1.4782999999999999</v>
      </c>
      <c r="G711" s="11">
        <v>9.66</v>
      </c>
      <c r="H711" s="11">
        <v>1</v>
      </c>
      <c r="I711" s="11">
        <v>9.8444000000000003</v>
      </c>
      <c r="J711" s="11">
        <v>25.353899999999999</v>
      </c>
      <c r="K711" s="11">
        <v>0.18</v>
      </c>
      <c r="L711" s="15">
        <f t="shared" si="11"/>
        <v>1.61</v>
      </c>
      <c r="M711" s="14">
        <f>IF(Tabla15[[#This Row],[COMBUSTIBLE]]="PETRÓLEO",L711*$Q$2,L711*$Q$4)</f>
        <v>1933.6100000000001</v>
      </c>
      <c r="N711" s="12" t="str">
        <f>IF(OR(WEEKDAY(Tabla15[[#This Row],[Fecha]],2)=6,WEEKDAY(Tabla15[[#This Row],[Fecha]],2)=7),"Fin de semana","Semana")</f>
        <v>Semana</v>
      </c>
    </row>
    <row r="712" spans="1:14" ht="12.75" customHeight="1" x14ac:dyDescent="0.25">
      <c r="A712" s="11" t="str">
        <f>_xlfn.XLOOKUP(Tabla15[[#This Row],[GPS]],Hoja3!A:A,Hoja3!B:B)</f>
        <v>CAMIONETA</v>
      </c>
      <c r="B712" s="11" t="str">
        <f>_xlfn.XLOOKUP(GPS!D712,Hoja3!A:A,Hoja3!D:D)</f>
        <v>PETRÓLEO</v>
      </c>
      <c r="C712" s="12" t="str">
        <f>_xlfn.XLOOKUP(Tabla15[[#This Row],[GPS]],Hoja3!A:A,Hoja3!C:C)</f>
        <v>CAMPO PAINE</v>
      </c>
      <c r="D712" s="12" t="s">
        <v>131</v>
      </c>
      <c r="E712" s="13">
        <v>46162</v>
      </c>
      <c r="F712" s="11">
        <v>1.4221999999999999</v>
      </c>
      <c r="G712" s="11">
        <v>11.39</v>
      </c>
      <c r="H712" s="11">
        <v>1</v>
      </c>
      <c r="I712" s="11">
        <v>13.3407</v>
      </c>
      <c r="J712" s="11">
        <v>124.95440000000001</v>
      </c>
      <c r="K712" s="11">
        <v>0.18</v>
      </c>
      <c r="L712" s="15">
        <f t="shared" si="11"/>
        <v>1.2655555555555555</v>
      </c>
      <c r="M712" s="14">
        <f>IF(Tabla15[[#This Row],[COMBUSTIBLE]]="PETRÓLEO",L712*$Q$2,L712*$Q$4)</f>
        <v>1519.9322222222222</v>
      </c>
      <c r="N712" s="12" t="str">
        <f>IF(OR(WEEKDAY(Tabla15[[#This Row],[Fecha]],2)=6,WEEKDAY(Tabla15[[#This Row],[Fecha]],2)=7),"Fin de semana","Semana")</f>
        <v>Semana</v>
      </c>
    </row>
    <row r="713" spans="1:14" ht="12.75" customHeight="1" x14ac:dyDescent="0.25">
      <c r="A713" s="11" t="str">
        <f>_xlfn.XLOOKUP(Tabla15[[#This Row],[GPS]],Hoja3!A:A,Hoja3!B:B)</f>
        <v>CAMIONETA</v>
      </c>
      <c r="B713" s="11" t="str">
        <f>_xlfn.XLOOKUP(GPS!D713,Hoja3!A:A,Hoja3!D:D)</f>
        <v>PETRÓLEO</v>
      </c>
      <c r="C713" s="12" t="str">
        <f>_xlfn.XLOOKUP(Tabla15[[#This Row],[GPS]],Hoja3!A:A,Hoja3!C:C)</f>
        <v>CAMPO PAINE</v>
      </c>
      <c r="D713" s="12" t="s">
        <v>131</v>
      </c>
      <c r="E713" s="13">
        <v>46170</v>
      </c>
      <c r="F713" s="11">
        <v>1.3911</v>
      </c>
      <c r="G713" s="11">
        <v>12.1</v>
      </c>
      <c r="H713" s="11">
        <v>1</v>
      </c>
      <c r="I713" s="11">
        <v>14.4977</v>
      </c>
      <c r="J713" s="11">
        <v>59.282499999999999</v>
      </c>
      <c r="K713" s="11">
        <v>0.17</v>
      </c>
      <c r="L713" s="15">
        <f t="shared" si="11"/>
        <v>1.3444444444444443</v>
      </c>
      <c r="M713" s="14">
        <f>IF(Tabla15[[#This Row],[COMBUSTIBLE]]="PETRÓLEO",L713*$Q$2,L713*$Q$4)</f>
        <v>1614.6777777777777</v>
      </c>
      <c r="N713" s="12" t="str">
        <f>IF(OR(WEEKDAY(Tabla15[[#This Row],[Fecha]],2)=6,WEEKDAY(Tabla15[[#This Row],[Fecha]],2)=7),"Fin de semana","Semana")</f>
        <v>Semana</v>
      </c>
    </row>
    <row r="714" spans="1:14" ht="12.75" customHeight="1" x14ac:dyDescent="0.25">
      <c r="A714" s="11" t="str">
        <f>_xlfn.XLOOKUP(Tabla15[[#This Row],[GPS]],Hoja3!A:A,Hoja3!B:B)</f>
        <v>CAMIONETA</v>
      </c>
      <c r="B714" s="11" t="str">
        <f>_xlfn.XLOOKUP(GPS!D714,Hoja3!A:A,Hoja3!D:D)</f>
        <v>PETRÓLEO</v>
      </c>
      <c r="C714" s="12" t="str">
        <f>_xlfn.XLOOKUP(Tabla15[[#This Row],[GPS]],Hoja3!A:A,Hoja3!C:C)</f>
        <v>CAMPO PAINE</v>
      </c>
      <c r="D714" s="12" t="s">
        <v>131</v>
      </c>
      <c r="E714" s="13">
        <v>46169</v>
      </c>
      <c r="F714" s="11">
        <v>1.2588999999999999</v>
      </c>
      <c r="G714" s="11">
        <v>18.47</v>
      </c>
      <c r="H714" s="11">
        <v>1</v>
      </c>
      <c r="I714" s="11">
        <v>18.209700000000002</v>
      </c>
      <c r="J714" s="11">
        <v>73.000100000000003</v>
      </c>
      <c r="K714" s="11">
        <v>0.16</v>
      </c>
      <c r="L714" s="15">
        <f t="shared" si="11"/>
        <v>2.0522222222222219</v>
      </c>
      <c r="M714" s="14">
        <f>IF(Tabla15[[#This Row],[COMBUSTIBLE]]="PETRÓLEO",L714*$Q$2,L714*$Q$4)</f>
        <v>2464.7188888888886</v>
      </c>
      <c r="N714" s="12" t="str">
        <f>IF(OR(WEEKDAY(Tabla15[[#This Row],[Fecha]],2)=6,WEEKDAY(Tabla15[[#This Row],[Fecha]],2)=7),"Fin de semana","Semana")</f>
        <v>Semana</v>
      </c>
    </row>
    <row r="715" spans="1:14" ht="12.75" customHeight="1" x14ac:dyDescent="0.25">
      <c r="A715" s="11" t="str">
        <f>_xlfn.XLOOKUP(Tabla15[[#This Row],[GPS]],Hoja3!A:A,Hoja3!B:B)</f>
        <v>TRACTOR</v>
      </c>
      <c r="B715" s="11" t="str">
        <f>_xlfn.XLOOKUP(GPS!D715,Hoja3!A:A,Hoja3!D:D)</f>
        <v>PETRÓLEO</v>
      </c>
      <c r="C715" s="12" t="str">
        <f>_xlfn.XLOOKUP(Tabla15[[#This Row],[GPS]],Hoja3!A:A,Hoja3!C:C)</f>
        <v>T13</v>
      </c>
      <c r="D715" s="12" t="s">
        <v>19</v>
      </c>
      <c r="E715" s="13">
        <v>46168</v>
      </c>
      <c r="F715" s="11">
        <v>1.0808</v>
      </c>
      <c r="G715" s="11">
        <v>6.5</v>
      </c>
      <c r="H715" s="11">
        <v>1</v>
      </c>
      <c r="I715" s="11">
        <v>7.0829000000000004</v>
      </c>
      <c r="J715" s="11">
        <v>14.612299999999999</v>
      </c>
      <c r="K715" s="11">
        <v>0.14000000000000001</v>
      </c>
      <c r="L715" s="15">
        <f t="shared" si="11"/>
        <v>1.0833333333333333</v>
      </c>
      <c r="M715" s="14">
        <f>IF(Tabla15[[#This Row],[COMBUSTIBLE]]="PETRÓLEO",L715*$Q$2,L715*$Q$4)</f>
        <v>1301.0833333333333</v>
      </c>
      <c r="N715" s="12" t="str">
        <f>IF(OR(WEEKDAY(Tabla15[[#This Row],[Fecha]],2)=6,WEEKDAY(Tabla15[[#This Row],[Fecha]],2)=7),"Fin de semana","Semana")</f>
        <v>Semana</v>
      </c>
    </row>
    <row r="716" spans="1:14" ht="12.75" customHeight="1" x14ac:dyDescent="0.25">
      <c r="A716" s="11" t="str">
        <f>_xlfn.XLOOKUP(Tabla15[[#This Row],[GPS]],Hoja3!A:A,Hoja3!B:B)</f>
        <v>TRACTOR</v>
      </c>
      <c r="B716" s="11" t="str">
        <f>_xlfn.XLOOKUP(GPS!D716,Hoja3!A:A,Hoja3!D:D)</f>
        <v>PETRÓLEO</v>
      </c>
      <c r="C716" s="12" t="str">
        <f>_xlfn.XLOOKUP(Tabla15[[#This Row],[GPS]],Hoja3!A:A,Hoja3!C:C)</f>
        <v>T6</v>
      </c>
      <c r="D716" s="12" t="s">
        <v>25</v>
      </c>
      <c r="E716" s="13">
        <v>46170</v>
      </c>
      <c r="F716" s="11">
        <v>0.98470000000000002</v>
      </c>
      <c r="G716" s="11">
        <v>5.71</v>
      </c>
      <c r="H716" s="11">
        <v>1</v>
      </c>
      <c r="I716" s="11">
        <v>7.5796999999999999</v>
      </c>
      <c r="J716" s="11">
        <v>57.7639</v>
      </c>
      <c r="K716" s="11">
        <v>0.12</v>
      </c>
      <c r="L716" s="15">
        <f t="shared" si="11"/>
        <v>0.95166666666666666</v>
      </c>
      <c r="M716" s="14">
        <f>IF(Tabla15[[#This Row],[COMBUSTIBLE]]="PETRÓLEO",L716*$Q$2,L716*$Q$4)</f>
        <v>1142.9516666666666</v>
      </c>
      <c r="N716" s="12" t="str">
        <f>IF(OR(WEEKDAY(Tabla15[[#This Row],[Fecha]],2)=6,WEEKDAY(Tabla15[[#This Row],[Fecha]],2)=7),"Fin de semana","Semana")</f>
        <v>Semana</v>
      </c>
    </row>
    <row r="717" spans="1:14" ht="12.75" customHeight="1" x14ac:dyDescent="0.25">
      <c r="A717" s="11" t="str">
        <f>_xlfn.XLOOKUP(Tabla15[[#This Row],[GPS]],Hoja3!A:A,Hoja3!B:B)</f>
        <v>TRACTOR</v>
      </c>
      <c r="B717" s="11" t="str">
        <f>_xlfn.XLOOKUP(GPS!D717,Hoja3!A:A,Hoja3!D:D)</f>
        <v>PETRÓLEO</v>
      </c>
      <c r="C717" s="12" t="str">
        <f>_xlfn.XLOOKUP(Tabla15[[#This Row],[GPS]],Hoja3!A:A,Hoja3!C:C)</f>
        <v>T13</v>
      </c>
      <c r="D717" s="12" t="s">
        <v>19</v>
      </c>
      <c r="E717" s="13">
        <v>46162</v>
      </c>
      <c r="F717" s="11">
        <v>0.83220000000000005</v>
      </c>
      <c r="G717" s="11">
        <v>2.68</v>
      </c>
      <c r="H717" s="11">
        <v>1</v>
      </c>
      <c r="I717" s="11">
        <v>7.4059999999999997</v>
      </c>
      <c r="J717" s="11">
        <v>23</v>
      </c>
      <c r="K717" s="11">
        <v>0.1</v>
      </c>
      <c r="L717" s="15">
        <f t="shared" si="11"/>
        <v>0.44666666666666671</v>
      </c>
      <c r="M717" s="14">
        <f>IF(Tabla15[[#This Row],[COMBUSTIBLE]]="PETRÓLEO",L717*$Q$2,L717*$Q$4)</f>
        <v>536.44666666666672</v>
      </c>
      <c r="N717" s="12" t="str">
        <f>IF(OR(WEEKDAY(Tabla15[[#This Row],[Fecha]],2)=6,WEEKDAY(Tabla15[[#This Row],[Fecha]],2)=7),"Fin de semana","Semana")</f>
        <v>Semana</v>
      </c>
    </row>
    <row r="718" spans="1:14" ht="12.75" customHeight="1" x14ac:dyDescent="0.25">
      <c r="A718" s="11" t="str">
        <f>_xlfn.XLOOKUP(Tabla15[[#This Row],[GPS]],Hoja3!A:A,Hoja3!B:B)</f>
        <v>TRACTOR</v>
      </c>
      <c r="B718" s="11" t="str">
        <f>_xlfn.XLOOKUP(GPS!D718,Hoja3!A:A,Hoja3!D:D)</f>
        <v>PETRÓLEO</v>
      </c>
      <c r="C718" s="12" t="str">
        <f>_xlfn.XLOOKUP(Tabla15[[#This Row],[GPS]],Hoja3!A:A,Hoja3!C:C)</f>
        <v>T4</v>
      </c>
      <c r="D718" s="12" t="s">
        <v>23</v>
      </c>
      <c r="E718" s="13">
        <v>46161</v>
      </c>
      <c r="F718" s="11">
        <v>0.77529999999999999</v>
      </c>
      <c r="G718" s="11">
        <v>9.14</v>
      </c>
      <c r="H718" s="11">
        <v>1</v>
      </c>
      <c r="I718" s="11">
        <v>14.165100000000001</v>
      </c>
      <c r="J718" s="11">
        <v>31.446999999999999</v>
      </c>
      <c r="K718" s="11">
        <v>0.1</v>
      </c>
      <c r="L718" s="15">
        <f t="shared" si="11"/>
        <v>1.5233333333333334</v>
      </c>
      <c r="M718" s="14">
        <f>IF(Tabla15[[#This Row],[COMBUSTIBLE]]="PETRÓLEO",L718*$Q$2,L718*$Q$4)</f>
        <v>1829.5233333333335</v>
      </c>
      <c r="N718" s="12" t="str">
        <f>IF(OR(WEEKDAY(Tabla15[[#This Row],[Fecha]],2)=6,WEEKDAY(Tabla15[[#This Row],[Fecha]],2)=7),"Fin de semana","Semana")</f>
        <v>Semana</v>
      </c>
    </row>
    <row r="719" spans="1:14" ht="12.75" customHeight="1" x14ac:dyDescent="0.25">
      <c r="A719" s="11" t="str">
        <f>_xlfn.XLOOKUP(Tabla15[[#This Row],[GPS]],Hoja3!A:A,Hoja3!B:B)</f>
        <v>CAMIONETA</v>
      </c>
      <c r="B719" s="11" t="str">
        <f>_xlfn.XLOOKUP(GPS!D719,Hoja3!A:A,Hoja3!D:D)</f>
        <v>PETRÓLEO</v>
      </c>
      <c r="C719" s="12" t="str">
        <f>_xlfn.XLOOKUP(Tabla15[[#This Row],[GPS]],Hoja3!A:A,Hoja3!C:C)</f>
        <v>GONZALO GUERRERO</v>
      </c>
      <c r="D719" s="12" t="s">
        <v>126</v>
      </c>
      <c r="E719" s="13">
        <v>46170</v>
      </c>
      <c r="F719" s="11">
        <v>0.76559999999999995</v>
      </c>
      <c r="G719" s="11">
        <v>17.02</v>
      </c>
      <c r="H719" s="11">
        <v>1</v>
      </c>
      <c r="I719" s="11">
        <v>29.246300000000002</v>
      </c>
      <c r="J719" s="11">
        <v>85.395700000000005</v>
      </c>
      <c r="K719" s="11">
        <v>0.1</v>
      </c>
      <c r="L719" s="15">
        <f t="shared" si="11"/>
        <v>1.891111111111111</v>
      </c>
      <c r="M719" s="14">
        <f>IF(Tabla15[[#This Row],[COMBUSTIBLE]]="PETRÓLEO",L719*$Q$2,L719*$Q$4)</f>
        <v>2271.2244444444441</v>
      </c>
      <c r="N719" s="12" t="str">
        <f>IF(OR(WEEKDAY(Tabla15[[#This Row],[Fecha]],2)=6,WEEKDAY(Tabla15[[#This Row],[Fecha]],2)=7),"Fin de semana","Semana")</f>
        <v>Semana</v>
      </c>
    </row>
    <row r="720" spans="1:14" ht="12.75" customHeight="1" x14ac:dyDescent="0.25">
      <c r="A720" s="11" t="str">
        <f>_xlfn.XLOOKUP(Tabla15[[#This Row],[GPS]],Hoja3!A:A,Hoja3!B:B)</f>
        <v>CAMIONETA</v>
      </c>
      <c r="B720" s="11" t="str">
        <f>_xlfn.XLOOKUP(GPS!D720,Hoja3!A:A,Hoja3!D:D)</f>
        <v>PETRÓLEO</v>
      </c>
      <c r="C720" s="12" t="str">
        <f>_xlfn.XLOOKUP(Tabla15[[#This Row],[GPS]],Hoja3!A:A,Hoja3!C:C)</f>
        <v>GONZALO GUERRERO</v>
      </c>
      <c r="D720" s="12" t="s">
        <v>126</v>
      </c>
      <c r="E720" s="13">
        <v>46164</v>
      </c>
      <c r="F720" s="11">
        <v>0.46639999999999998</v>
      </c>
      <c r="G720" s="11">
        <v>13.75</v>
      </c>
      <c r="H720" s="11">
        <v>1</v>
      </c>
      <c r="I720" s="11">
        <v>34.5899</v>
      </c>
      <c r="J720" s="11">
        <v>96.952200000000005</v>
      </c>
      <c r="K720" s="11">
        <v>0.06</v>
      </c>
      <c r="L720" s="15">
        <f t="shared" si="11"/>
        <v>1.5277777777777777</v>
      </c>
      <c r="M720" s="14">
        <f>IF(Tabla15[[#This Row],[COMBUSTIBLE]]="PETRÓLEO",L720*$Q$2,L720*$Q$4)</f>
        <v>1834.8611111111111</v>
      </c>
      <c r="N720" s="12" t="str">
        <f>IF(OR(WEEKDAY(Tabla15[[#This Row],[Fecha]],2)=6,WEEKDAY(Tabla15[[#This Row],[Fecha]],2)=7),"Fin de semana","Semana")</f>
        <v>Semana</v>
      </c>
    </row>
    <row r="721" spans="1:14" ht="12.75" customHeight="1" x14ac:dyDescent="0.25">
      <c r="A721" s="11" t="str">
        <f>_xlfn.XLOOKUP(Tabla15[[#This Row],[GPS]],Hoja3!A:A,Hoja3!B:B)</f>
        <v>CAMIONETA</v>
      </c>
      <c r="B721" s="11" t="str">
        <f>_xlfn.XLOOKUP(GPS!D721,Hoja3!A:A,Hoja3!D:D)</f>
        <v>PETRÓLEO</v>
      </c>
      <c r="C721" s="12" t="str">
        <f>_xlfn.XLOOKUP(Tabla15[[#This Row],[GPS]],Hoja3!A:A,Hoja3!C:C)</f>
        <v>CAMPO RULO</v>
      </c>
      <c r="D721" s="12" t="s">
        <v>135</v>
      </c>
      <c r="E721" s="13">
        <v>46163</v>
      </c>
      <c r="F721" s="11">
        <v>8.5599999999999996E-2</v>
      </c>
      <c r="G721" s="11">
        <v>0.48</v>
      </c>
      <c r="H721" s="11">
        <v>0</v>
      </c>
      <c r="I721" s="11">
        <v>9.3714999999999993</v>
      </c>
      <c r="J721" s="11">
        <v>24.0001</v>
      </c>
      <c r="K721" s="11">
        <v>0.01</v>
      </c>
      <c r="L721" s="15">
        <f t="shared" si="11"/>
        <v>5.333333333333333E-2</v>
      </c>
      <c r="M721" s="14">
        <f>IF(Tabla15[[#This Row],[COMBUSTIBLE]]="PETRÓLEO",L721*$Q$2,L721*$Q$4)</f>
        <v>64.053333333333327</v>
      </c>
      <c r="N721" s="12" t="str">
        <f>IF(OR(WEEKDAY(Tabla15[[#This Row],[Fecha]],2)=6,WEEKDAY(Tabla15[[#This Row],[Fecha]],2)=7),"Fin de semana","Semana")</f>
        <v>Semana</v>
      </c>
    </row>
    <row r="722" spans="1:14" ht="12.75" customHeight="1" x14ac:dyDescent="0.25">
      <c r="A722" s="11" t="str">
        <f>_xlfn.XLOOKUP(Tabla15[[#This Row],[GPS]],Hoja3!A:A,Hoja3!B:B)</f>
        <v>CAMIONETA</v>
      </c>
      <c r="B722" s="11" t="str">
        <f>_xlfn.XLOOKUP(GPS!D722,Hoja3!A:A,Hoja3!D:D)</f>
        <v>PETRÓLEO</v>
      </c>
      <c r="C722" s="12" t="str">
        <f>_xlfn.XLOOKUP(Tabla15[[#This Row],[GPS]],Hoja3!A:A,Hoja3!C:C)</f>
        <v>RODRIGO SALINAS</v>
      </c>
      <c r="D722" s="12" t="s">
        <v>109</v>
      </c>
      <c r="E722" s="13">
        <v>46164</v>
      </c>
      <c r="F722" s="11">
        <v>6.5799999999999997E-2</v>
      </c>
      <c r="G722" s="11">
        <v>0.27</v>
      </c>
      <c r="H722" s="11">
        <v>0</v>
      </c>
      <c r="I722" s="11">
        <v>13.224399999999999</v>
      </c>
      <c r="J722" s="11">
        <v>121.3616</v>
      </c>
      <c r="K722" s="11">
        <v>0.01</v>
      </c>
      <c r="L722" s="15">
        <f t="shared" si="11"/>
        <v>3.0000000000000002E-2</v>
      </c>
      <c r="M722" s="14">
        <f>IF(Tabla15[[#This Row],[COMBUSTIBLE]]="PETRÓLEO",L722*$Q$2,L722*$Q$4)</f>
        <v>36.03</v>
      </c>
      <c r="N722" s="12" t="str">
        <f>IF(OR(WEEKDAY(Tabla15[[#This Row],[Fecha]],2)=6,WEEKDAY(Tabla15[[#This Row],[Fecha]],2)=7),"Fin de semana","Semana")</f>
        <v>Semana</v>
      </c>
    </row>
    <row r="723" spans="1:14" ht="12.75" customHeight="1" x14ac:dyDescent="0.25">
      <c r="A723" s="11" t="str">
        <f>_xlfn.XLOOKUP(Tabla15[[#This Row],[GPS]],Hoja3!A:A,Hoja3!B:B)</f>
        <v>CAMIONETA</v>
      </c>
      <c r="B723" s="11" t="str">
        <f>_xlfn.XLOOKUP(GPS!D723,Hoja3!A:A,Hoja3!D:D)</f>
        <v>PETRÓLEO</v>
      </c>
      <c r="C723" s="12" t="str">
        <f>_xlfn.XLOOKUP(Tabla15[[#This Row],[GPS]],Hoja3!A:A,Hoja3!C:C)</f>
        <v>GONZALO GUERRERO</v>
      </c>
      <c r="D723" s="12" t="s">
        <v>126</v>
      </c>
      <c r="E723" s="13">
        <v>46168</v>
      </c>
      <c r="F723" s="11">
        <v>5.9400000000000001E-2</v>
      </c>
      <c r="G723" s="11">
        <v>0.85</v>
      </c>
      <c r="H723" s="11">
        <v>0</v>
      </c>
      <c r="I723" s="11">
        <v>18.598800000000001</v>
      </c>
      <c r="J723" s="11">
        <v>61.000100000000003</v>
      </c>
      <c r="K723" s="11">
        <v>0.01</v>
      </c>
      <c r="L723" s="15">
        <f t="shared" si="11"/>
        <v>9.4444444444444442E-2</v>
      </c>
      <c r="M723" s="14">
        <f>IF(Tabla15[[#This Row],[COMBUSTIBLE]]="PETRÓLEO",L723*$Q$2,L723*$Q$4)</f>
        <v>113.42777777777778</v>
      </c>
      <c r="N723" s="12" t="str">
        <f>IF(OR(WEEKDAY(Tabla15[[#This Row],[Fecha]],2)=6,WEEKDAY(Tabla15[[#This Row],[Fecha]],2)=7),"Fin de semana","Semana")</f>
        <v>Semana</v>
      </c>
    </row>
    <row r="724" spans="1:14" ht="12.75" customHeight="1" x14ac:dyDescent="0.25">
      <c r="A724" s="11" t="str">
        <f>_xlfn.XLOOKUP(Tabla15[[#This Row],[GPS]],Hoja3!A:A,Hoja3!B:B)</f>
        <v>TRACTOR</v>
      </c>
      <c r="B724" s="11" t="str">
        <f>_xlfn.XLOOKUP(GPS!D724,Hoja3!A:A,Hoja3!D:D)</f>
        <v>PETRÓLEO</v>
      </c>
      <c r="C724" s="12" t="str">
        <f>_xlfn.XLOOKUP(Tabla15[[#This Row],[GPS]],Hoja3!A:A,Hoja3!C:C)</f>
        <v>T9</v>
      </c>
      <c r="D724" s="12" t="s">
        <v>28</v>
      </c>
      <c r="E724" s="13">
        <v>46168</v>
      </c>
      <c r="F724" s="11">
        <v>2.86E-2</v>
      </c>
      <c r="G724" s="11">
        <v>1.61</v>
      </c>
      <c r="H724" s="11">
        <v>1</v>
      </c>
      <c r="I724" s="11">
        <v>9.1089000000000002</v>
      </c>
      <c r="J724" s="11">
        <v>80.395300000000006</v>
      </c>
      <c r="K724" s="11">
        <v>0</v>
      </c>
      <c r="L724" s="15">
        <f t="shared" si="11"/>
        <v>0.26833333333333337</v>
      </c>
      <c r="M724" s="14">
        <f>IF(Tabla15[[#This Row],[COMBUSTIBLE]]="PETRÓLEO",L724*$Q$2,L724*$Q$4)</f>
        <v>322.26833333333337</v>
      </c>
      <c r="N724" s="12" t="str">
        <f>IF(OR(WEEKDAY(Tabla15[[#This Row],[Fecha]],2)=6,WEEKDAY(Tabla15[[#This Row],[Fecha]],2)=7),"Fin de semana","Semana")</f>
        <v>Semana</v>
      </c>
    </row>
    <row r="725" spans="1:14" ht="12.75" customHeight="1" x14ac:dyDescent="0.25">
      <c r="A725" s="11" t="str">
        <f>_xlfn.XLOOKUP(Tabla15[[#This Row],[GPS]],Hoja3!A:A,Hoja3!B:B)</f>
        <v>TRACTOR</v>
      </c>
      <c r="B725" s="11" t="str">
        <f>_xlfn.XLOOKUP(GPS!D725,Hoja3!A:A,Hoja3!D:D)</f>
        <v>PETRÓLEO</v>
      </c>
      <c r="C725" s="12" t="str">
        <f>_xlfn.XLOOKUP(Tabla15[[#This Row],[GPS]],Hoja3!A:A,Hoja3!C:C)</f>
        <v>T4</v>
      </c>
      <c r="D725" s="12" t="s">
        <v>23</v>
      </c>
      <c r="E725" s="13">
        <v>46168</v>
      </c>
      <c r="F725" s="11">
        <v>2.6100000000000002E-2</v>
      </c>
      <c r="G725" s="11">
        <v>0</v>
      </c>
      <c r="H725" s="11">
        <v>0</v>
      </c>
      <c r="I725" s="11">
        <v>0</v>
      </c>
      <c r="J725" s="11">
        <v>0</v>
      </c>
      <c r="K725" s="11">
        <v>0</v>
      </c>
      <c r="L725" s="15">
        <f t="shared" si="11"/>
        <v>0</v>
      </c>
      <c r="M725" s="14">
        <f>IF(Tabla15[[#This Row],[COMBUSTIBLE]]="PETRÓLEO",L725*$Q$2,L725*$Q$4)</f>
        <v>0</v>
      </c>
      <c r="N725" s="12" t="str">
        <f>IF(OR(WEEKDAY(Tabla15[[#This Row],[Fecha]],2)=6,WEEKDAY(Tabla15[[#This Row],[Fecha]],2)=7),"Fin de semana","Semana")</f>
        <v>Semana</v>
      </c>
    </row>
    <row r="726" spans="1:14" ht="12.75" customHeight="1" x14ac:dyDescent="0.25">
      <c r="A726" s="11" t="str">
        <f>_xlfn.XLOOKUP(Tabla15[[#This Row],[GPS]],Hoja3!A:A,Hoja3!B:B)</f>
        <v>TRACTOR</v>
      </c>
      <c r="B726" s="11" t="str">
        <f>_xlfn.XLOOKUP(GPS!D726,Hoja3!A:A,Hoja3!D:D)</f>
        <v>PETRÓLEO</v>
      </c>
      <c r="C726" s="12" t="str">
        <f>_xlfn.XLOOKUP(Tabla15[[#This Row],[GPS]],Hoja3!A:A,Hoja3!C:C)</f>
        <v>T10</v>
      </c>
      <c r="D726" s="12" t="s">
        <v>14</v>
      </c>
      <c r="E726" s="13">
        <v>46161</v>
      </c>
      <c r="F726" s="11">
        <v>5.0000000000000001E-3</v>
      </c>
      <c r="G726" s="11">
        <v>0.01</v>
      </c>
      <c r="H726" s="11">
        <v>0</v>
      </c>
      <c r="I726" s="11">
        <v>3.6236999999999999</v>
      </c>
      <c r="J726" s="11">
        <v>9.1674000000000007</v>
      </c>
      <c r="K726" s="11">
        <v>0</v>
      </c>
      <c r="L726" s="15">
        <f t="shared" si="11"/>
        <v>1.6666666666666668E-3</v>
      </c>
      <c r="M726" s="14">
        <f>IF(Tabla15[[#This Row],[COMBUSTIBLE]]="PETRÓLEO",L726*$Q$2,L726*$Q$4)</f>
        <v>2.0016666666666669</v>
      </c>
      <c r="N726" s="12" t="str">
        <f>IF(OR(WEEKDAY(Tabla15[[#This Row],[Fecha]],2)=6,WEEKDAY(Tabla15[[#This Row],[Fecha]],2)=7),"Fin de semana","Semana")</f>
        <v>Semana</v>
      </c>
    </row>
    <row r="727" spans="1:14" ht="12.75" customHeight="1" x14ac:dyDescent="0.25">
      <c r="A727" s="11" t="str">
        <f>_xlfn.XLOOKUP(Tabla15[[#This Row],[GPS]],Hoja3!A:A,Hoja3!B:B)</f>
        <v>CAMIONETA</v>
      </c>
      <c r="B727" s="11" t="str">
        <f>_xlfn.XLOOKUP(GPS!D727,Hoja3!A:A,Hoja3!D:D)</f>
        <v>BENCINA</v>
      </c>
      <c r="C727" s="12" t="str">
        <f>_xlfn.XLOOKUP(Tabla15[[#This Row],[GPS]],Hoja3!A:A,Hoja3!C:C)</f>
        <v>VG PIÑALEO</v>
      </c>
      <c r="D727" s="12" t="s">
        <v>114</v>
      </c>
      <c r="E727" s="13">
        <v>46169</v>
      </c>
      <c r="F727" s="11">
        <v>0</v>
      </c>
      <c r="G727" s="11">
        <v>45.17</v>
      </c>
      <c r="H727" s="11">
        <v>1</v>
      </c>
      <c r="I727" s="11">
        <v>34.823099999999997</v>
      </c>
      <c r="J727" s="11">
        <v>97</v>
      </c>
      <c r="K727" s="11">
        <v>0</v>
      </c>
      <c r="L727" s="15">
        <f t="shared" si="11"/>
        <v>4.1063636363636364</v>
      </c>
      <c r="M727" s="14">
        <f>IF(Tabla15[[#This Row],[COMBUSTIBLE]]="PETRÓLEO",L727*$Q$2,L727*$Q$4)</f>
        <v>6364.863636363636</v>
      </c>
      <c r="N727" s="12" t="str">
        <f>IF(OR(WEEKDAY(Tabla15[[#This Row],[Fecha]],2)=6,WEEKDAY(Tabla15[[#This Row],[Fecha]],2)=7),"Fin de semana","Semana")</f>
        <v>Semana</v>
      </c>
    </row>
    <row r="728" spans="1:14" ht="12.75" customHeight="1" x14ac:dyDescent="0.25">
      <c r="A728" s="11" t="str">
        <f>_xlfn.XLOOKUP(Tabla15[[#This Row],[GPS]],Hoja3!A:A,Hoja3!B:B)</f>
        <v>CAMIONETA</v>
      </c>
      <c r="B728" s="11" t="str">
        <f>_xlfn.XLOOKUP(GPS!D728,Hoja3!A:A,Hoja3!D:D)</f>
        <v>PETRÓLEO</v>
      </c>
      <c r="C728" s="12" t="str">
        <f>_xlfn.XLOOKUP(Tabla15[[#This Row],[GPS]],Hoja3!A:A,Hoja3!C:C)</f>
        <v>SERGIO ROJAS</v>
      </c>
      <c r="D728" s="12" t="s">
        <v>128</v>
      </c>
      <c r="E728" s="13">
        <v>46168</v>
      </c>
      <c r="F728" s="11">
        <v>0</v>
      </c>
      <c r="G728" s="11">
        <v>34.68</v>
      </c>
      <c r="H728" s="11">
        <v>1</v>
      </c>
      <c r="I728" s="11">
        <v>27.188800000000001</v>
      </c>
      <c r="J728" s="11">
        <v>90</v>
      </c>
      <c r="K728" s="11">
        <v>0</v>
      </c>
      <c r="L728" s="15">
        <f t="shared" si="11"/>
        <v>3.8533333333333335</v>
      </c>
      <c r="M728" s="14">
        <f>IF(Tabla15[[#This Row],[COMBUSTIBLE]]="PETRÓLEO",L728*$Q$2,L728*$Q$4)</f>
        <v>4627.8533333333335</v>
      </c>
      <c r="N728" s="12" t="str">
        <f>IF(OR(WEEKDAY(Tabla15[[#This Row],[Fecha]],2)=6,WEEKDAY(Tabla15[[#This Row],[Fecha]],2)=7),"Fin de semana","Semana")</f>
        <v>Semana</v>
      </c>
    </row>
    <row r="729" spans="1:14" ht="12.75" customHeight="1" x14ac:dyDescent="0.25">
      <c r="A729" s="11" t="str">
        <f>_xlfn.XLOOKUP(Tabla15[[#This Row],[GPS]],Hoja3!A:A,Hoja3!B:B)</f>
        <v>CAMIONETA</v>
      </c>
      <c r="B729" s="11" t="str">
        <f>_xlfn.XLOOKUP(GPS!D729,Hoja3!A:A,Hoja3!D:D)</f>
        <v>BENCINA</v>
      </c>
      <c r="C729" s="12" t="str">
        <f>_xlfn.XLOOKUP(Tabla15[[#This Row],[GPS]],Hoja3!A:A,Hoja3!C:C)</f>
        <v>VG CERRILLOS</v>
      </c>
      <c r="D729" s="12" t="s">
        <v>137</v>
      </c>
      <c r="E729" s="13">
        <v>46169</v>
      </c>
      <c r="F729" s="11">
        <v>0</v>
      </c>
      <c r="G729" s="11">
        <v>53.02</v>
      </c>
      <c r="H729" s="11">
        <v>1</v>
      </c>
      <c r="I729" s="11">
        <v>17.432099999999998</v>
      </c>
      <c r="J729" s="11">
        <v>64.542199999999994</v>
      </c>
      <c r="K729" s="11">
        <v>0</v>
      </c>
      <c r="L729" s="15">
        <f t="shared" si="11"/>
        <v>4.82</v>
      </c>
      <c r="M729" s="14">
        <f>IF(Tabla15[[#This Row],[COMBUSTIBLE]]="PETRÓLEO",L729*$Q$2,L729*$Q$4)</f>
        <v>7471</v>
      </c>
      <c r="N729" s="12" t="str">
        <f>IF(OR(WEEKDAY(Tabla15[[#This Row],[Fecha]],2)=6,WEEKDAY(Tabla15[[#This Row],[Fecha]],2)=7),"Fin de semana","Semana")</f>
        <v>Semana</v>
      </c>
    </row>
    <row r="730" spans="1:14" ht="12.75" customHeight="1" x14ac:dyDescent="0.25">
      <c r="A730" s="11" t="str">
        <f>_xlfn.XLOOKUP(Tabla15[[#This Row],[GPS]],Hoja3!A:A,Hoja3!B:B)</f>
        <v>CAMIONETA</v>
      </c>
      <c r="B730" s="11" t="str">
        <f>_xlfn.XLOOKUP(GPS!D730,Hoja3!A:A,Hoja3!D:D)</f>
        <v>PETRÓLEO</v>
      </c>
      <c r="C730" s="12" t="str">
        <f>_xlfn.XLOOKUP(Tabla15[[#This Row],[GPS]],Hoja3!A:A,Hoja3!C:C)</f>
        <v>CAMPO RULO</v>
      </c>
      <c r="D730" s="12" t="s">
        <v>135</v>
      </c>
      <c r="E730" s="13">
        <v>46164</v>
      </c>
      <c r="F730" s="11">
        <v>0</v>
      </c>
      <c r="G730" s="11">
        <v>0.01</v>
      </c>
      <c r="H730" s="11">
        <v>0</v>
      </c>
      <c r="I730" s="11">
        <v>7.5284000000000004</v>
      </c>
      <c r="J730" s="11">
        <v>14.4826</v>
      </c>
      <c r="K730" s="11">
        <v>0</v>
      </c>
      <c r="L730" s="15">
        <f t="shared" si="11"/>
        <v>1.1111111111111111E-3</v>
      </c>
      <c r="M730" s="14">
        <f>IF(Tabla15[[#This Row],[COMBUSTIBLE]]="PETRÓLEO",L730*$Q$2,L730*$Q$4)</f>
        <v>1.3344444444444445</v>
      </c>
      <c r="N730" s="12" t="str">
        <f>IF(OR(WEEKDAY(Tabla15[[#This Row],[Fecha]],2)=6,WEEKDAY(Tabla15[[#This Row],[Fecha]],2)=7),"Fin de semana","Semana")</f>
        <v>Semana</v>
      </c>
    </row>
    <row r="731" spans="1:14" ht="12.75" customHeight="1" x14ac:dyDescent="0.25">
      <c r="A731" s="11" t="str">
        <f>_xlfn.XLOOKUP(Tabla15[[#This Row],[GPS]],Hoja3!A:A,Hoja3!B:B)</f>
        <v>TRACTOR</v>
      </c>
      <c r="B731" s="11" t="str">
        <f>_xlfn.XLOOKUP(GPS!D731,Hoja3!A:A,Hoja3!D:D)</f>
        <v>PETRÓLEO</v>
      </c>
      <c r="C731" s="12" t="str">
        <f>_xlfn.XLOOKUP(Tabla15[[#This Row],[GPS]],Hoja3!A:A,Hoja3!C:C)</f>
        <v>T4</v>
      </c>
      <c r="D731" s="12" t="s">
        <v>23</v>
      </c>
      <c r="E731" s="13">
        <v>46163</v>
      </c>
      <c r="F731" s="11">
        <v>0</v>
      </c>
      <c r="G731" s="11">
        <v>0.01</v>
      </c>
      <c r="H731" s="11">
        <v>0</v>
      </c>
      <c r="I731" s="11">
        <v>12.1121</v>
      </c>
      <c r="J731" s="11">
        <v>12.1121</v>
      </c>
      <c r="K731" s="11">
        <v>0</v>
      </c>
      <c r="L731" s="15">
        <f t="shared" si="11"/>
        <v>1.6666666666666668E-3</v>
      </c>
      <c r="M731" s="14">
        <f>IF(Tabla15[[#This Row],[COMBUSTIBLE]]="PETRÓLEO",L731*$Q$2,L731*$Q$4)</f>
        <v>2.0016666666666669</v>
      </c>
      <c r="N731" s="12" t="str">
        <f>IF(OR(WEEKDAY(Tabla15[[#This Row],[Fecha]],2)=6,WEEKDAY(Tabla15[[#This Row],[Fecha]],2)=7),"Fin de semana","Semana")</f>
        <v>Semana</v>
      </c>
    </row>
    <row r="732" spans="1:14" ht="12.75" customHeight="1" x14ac:dyDescent="0.25">
      <c r="A732" s="11" t="str">
        <f>_xlfn.XLOOKUP(Tabla15[[#This Row],[GPS]],Hoja3!A:A,Hoja3!B:B)</f>
        <v>CAMIONETA</v>
      </c>
      <c r="B732" s="11" t="str">
        <f>_xlfn.XLOOKUP(GPS!D732,Hoja3!A:A,Hoja3!D:D)</f>
        <v>BENCINA</v>
      </c>
      <c r="C732" s="12" t="str">
        <f>_xlfn.XLOOKUP(Tabla15[[#This Row],[GPS]],Hoja3!A:A,Hoja3!C:C)</f>
        <v>VG CERRILLOS</v>
      </c>
      <c r="D732" s="12" t="s">
        <v>137</v>
      </c>
      <c r="E732" s="13">
        <v>46162</v>
      </c>
      <c r="F732" s="11">
        <v>0</v>
      </c>
      <c r="G732" s="11">
        <v>34.31</v>
      </c>
      <c r="H732" s="11">
        <v>1</v>
      </c>
      <c r="I732" s="11">
        <v>13.186199999999999</v>
      </c>
      <c r="J732" s="11">
        <v>41.614400000000003</v>
      </c>
      <c r="K732" s="11">
        <v>0</v>
      </c>
      <c r="L732" s="15">
        <f t="shared" si="11"/>
        <v>3.1190909090909091</v>
      </c>
      <c r="M732" s="14">
        <f>IF(Tabla15[[#This Row],[COMBUSTIBLE]]="PETRÓLEO",L732*$Q$2,L732*$Q$4)</f>
        <v>4834.590909090909</v>
      </c>
      <c r="N732" s="12" t="str">
        <f>IF(OR(WEEKDAY(Tabla15[[#This Row],[Fecha]],2)=6,WEEKDAY(Tabla15[[#This Row],[Fecha]],2)=7),"Fin de semana","Semana")</f>
        <v>Semana</v>
      </c>
    </row>
    <row r="733" spans="1:14" ht="12.75" customHeight="1" x14ac:dyDescent="0.25">
      <c r="A733" s="11" t="str">
        <f>_xlfn.XLOOKUP(Tabla15[[#This Row],[GPS]],Hoja3!A:A,Hoja3!B:B)</f>
        <v>CAMIONETA</v>
      </c>
      <c r="B733" s="11" t="str">
        <f>_xlfn.XLOOKUP(GPS!D733,Hoja3!A:A,Hoja3!D:D)</f>
        <v>BENCINA</v>
      </c>
      <c r="C733" s="12" t="str">
        <f>_xlfn.XLOOKUP(Tabla15[[#This Row],[GPS]],Hoja3!A:A,Hoja3!C:C)</f>
        <v>VG GERARDO</v>
      </c>
      <c r="D733" s="12" t="s">
        <v>118</v>
      </c>
      <c r="E733" s="13">
        <v>46161</v>
      </c>
      <c r="F733" s="11">
        <v>0</v>
      </c>
      <c r="G733" s="11">
        <v>91.83</v>
      </c>
      <c r="H733" s="11">
        <v>1</v>
      </c>
      <c r="I733" s="11">
        <v>32.265700000000002</v>
      </c>
      <c r="J733" s="11">
        <v>94.000100000000003</v>
      </c>
      <c r="K733" s="11">
        <v>0</v>
      </c>
      <c r="L733" s="15">
        <f t="shared" si="11"/>
        <v>8.3481818181818177</v>
      </c>
      <c r="M733" s="14">
        <f>IF(Tabla15[[#This Row],[COMBUSTIBLE]]="PETRÓLEO",L733*$Q$2,L733*$Q$4)</f>
        <v>12939.681818181818</v>
      </c>
      <c r="N733" s="12" t="str">
        <f>IF(OR(WEEKDAY(Tabla15[[#This Row],[Fecha]],2)=6,WEEKDAY(Tabla15[[#This Row],[Fecha]],2)=7),"Fin de semana","Semana")</f>
        <v>Semana</v>
      </c>
    </row>
    <row r="734" spans="1:14" ht="12.75" customHeight="1" x14ac:dyDescent="0.25">
      <c r="A734" s="11" t="str">
        <f>_xlfn.XLOOKUP(Tabla15[[#This Row],[GPS]],Hoja3!A:A,Hoja3!B:B)</f>
        <v>CAMIONETA</v>
      </c>
      <c r="B734" s="11" t="str">
        <f>_xlfn.XLOOKUP(GPS!D734,Hoja3!A:A,Hoja3!D:D)</f>
        <v>BENCINA</v>
      </c>
      <c r="C734" s="12" t="str">
        <f>_xlfn.XLOOKUP(Tabla15[[#This Row],[GPS]],Hoja3!A:A,Hoja3!C:C)</f>
        <v>VG CERRILLOS</v>
      </c>
      <c r="D734" s="12" t="s">
        <v>137</v>
      </c>
      <c r="E734" s="13">
        <v>46161</v>
      </c>
      <c r="F734" s="11">
        <v>0</v>
      </c>
      <c r="G734" s="11">
        <v>39.86</v>
      </c>
      <c r="H734" s="11">
        <v>1</v>
      </c>
      <c r="I734" s="11">
        <v>18.725100000000001</v>
      </c>
      <c r="J734" s="11">
        <v>89.000100000000003</v>
      </c>
      <c r="K734" s="11">
        <v>0</v>
      </c>
      <c r="L734" s="15">
        <f t="shared" si="11"/>
        <v>3.6236363636363635</v>
      </c>
      <c r="M734" s="14">
        <f>IF(Tabla15[[#This Row],[COMBUSTIBLE]]="PETRÓLEO",L734*$Q$2,L734*$Q$4)</f>
        <v>5616.6363636363631</v>
      </c>
      <c r="N734" s="12" t="str">
        <f>IF(OR(WEEKDAY(Tabla15[[#This Row],[Fecha]],2)=6,WEEKDAY(Tabla15[[#This Row],[Fecha]],2)=7),"Fin de semana","Semana")</f>
        <v>Semana</v>
      </c>
    </row>
    <row r="735" spans="1:14" ht="12.75" customHeight="1" x14ac:dyDescent="0.25">
      <c r="A735" s="11" t="str">
        <f>_xlfn.XLOOKUP(Tabla15[[#This Row],[GPS]],Hoja3!A:A,Hoja3!B:B)</f>
        <v>CAMIONETA</v>
      </c>
      <c r="B735" s="11" t="str">
        <f>_xlfn.XLOOKUP(GPS!D735,Hoja3!A:A,Hoja3!D:D)</f>
        <v>BENCINA</v>
      </c>
      <c r="C735" s="12" t="str">
        <f>_xlfn.XLOOKUP(Tabla15[[#This Row],[GPS]],Hoja3!A:A,Hoja3!C:C)</f>
        <v>VG GERARDO</v>
      </c>
      <c r="D735" s="12" t="s">
        <v>118</v>
      </c>
      <c r="E735" s="13">
        <v>46170</v>
      </c>
      <c r="F735" s="11">
        <v>0</v>
      </c>
      <c r="G735" s="11">
        <v>6.56</v>
      </c>
      <c r="H735" s="11">
        <v>1</v>
      </c>
      <c r="I735" s="11">
        <v>36.138399999999997</v>
      </c>
      <c r="J735" s="11">
        <v>77</v>
      </c>
      <c r="K735" s="11">
        <v>0</v>
      </c>
      <c r="L735" s="15">
        <f t="shared" si="11"/>
        <v>0.59636363636363632</v>
      </c>
      <c r="M735" s="14">
        <f>IF(Tabla15[[#This Row],[COMBUSTIBLE]]="PETRÓLEO",L735*$Q$2,L735*$Q$4)</f>
        <v>924.36363636363626</v>
      </c>
      <c r="N735" s="12" t="str">
        <f>IF(OR(WEEKDAY(Tabla15[[#This Row],[Fecha]],2)=6,WEEKDAY(Tabla15[[#This Row],[Fecha]],2)=7),"Fin de semana","Semana")</f>
        <v>Semana</v>
      </c>
    </row>
    <row r="736" spans="1:14" ht="12.75" customHeight="1" x14ac:dyDescent="0.25">
      <c r="A736" s="11" t="str">
        <f>_xlfn.XLOOKUP(Tabla15[[#This Row],[GPS]],Hoja3!A:A,Hoja3!B:B)</f>
        <v>CAMIONETA</v>
      </c>
      <c r="B736" s="11" t="str">
        <f>_xlfn.XLOOKUP(GPS!D736,Hoja3!A:A,Hoja3!D:D)</f>
        <v>BENCINA</v>
      </c>
      <c r="C736" s="12" t="str">
        <f>_xlfn.XLOOKUP(Tabla15[[#This Row],[GPS]],Hoja3!A:A,Hoja3!C:C)</f>
        <v>VG CERRILLOS</v>
      </c>
      <c r="D736" s="12" t="s">
        <v>137</v>
      </c>
      <c r="E736" s="13">
        <v>46170</v>
      </c>
      <c r="F736" s="11">
        <v>0</v>
      </c>
      <c r="G736" s="11">
        <v>42.81</v>
      </c>
      <c r="H736" s="11">
        <v>1</v>
      </c>
      <c r="I736" s="11">
        <v>21.351800000000001</v>
      </c>
      <c r="J736" s="11">
        <v>80.000100000000003</v>
      </c>
      <c r="K736" s="11">
        <v>0</v>
      </c>
      <c r="L736" s="15">
        <f t="shared" si="11"/>
        <v>3.8918181818181821</v>
      </c>
      <c r="M736" s="14">
        <f>IF(Tabla15[[#This Row],[COMBUSTIBLE]]="PETRÓLEO",L736*$Q$2,L736*$Q$4)</f>
        <v>6032.318181818182</v>
      </c>
      <c r="N736" s="12" t="str">
        <f>IF(OR(WEEKDAY(Tabla15[[#This Row],[Fecha]],2)=6,WEEKDAY(Tabla15[[#This Row],[Fecha]],2)=7),"Fin de semana","Semana")</f>
        <v>Semana</v>
      </c>
    </row>
    <row r="737" spans="1:14" ht="12.75" customHeight="1" x14ac:dyDescent="0.25">
      <c r="A737" s="11" t="str">
        <f>_xlfn.XLOOKUP(Tabla15[[#This Row],[GPS]],Hoja3!A:A,Hoja3!B:B)</f>
        <v>CAMIONETA</v>
      </c>
      <c r="B737" s="11" t="str">
        <f>_xlfn.XLOOKUP(GPS!D737,Hoja3!A:A,Hoja3!D:D)</f>
        <v>BENCINA</v>
      </c>
      <c r="C737" s="12" t="str">
        <f>_xlfn.XLOOKUP(Tabla15[[#This Row],[GPS]],Hoja3!A:A,Hoja3!C:C)</f>
        <v>VG PIÑALEO</v>
      </c>
      <c r="D737" s="12" t="s">
        <v>114</v>
      </c>
      <c r="E737" s="13">
        <v>46161</v>
      </c>
      <c r="F737" s="11">
        <v>0</v>
      </c>
      <c r="G737" s="11">
        <v>77.58</v>
      </c>
      <c r="H737" s="11">
        <v>1</v>
      </c>
      <c r="I737" s="11">
        <v>35.806600000000003</v>
      </c>
      <c r="J737" s="11">
        <v>113</v>
      </c>
      <c r="K737" s="11">
        <v>0</v>
      </c>
      <c r="L737" s="15">
        <f t="shared" si="11"/>
        <v>7.0527272727272727</v>
      </c>
      <c r="M737" s="14">
        <f>IF(Tabla15[[#This Row],[COMBUSTIBLE]]="PETRÓLEO",L737*$Q$2,L737*$Q$4)</f>
        <v>10931.727272727272</v>
      </c>
      <c r="N737" s="12" t="str">
        <f>IF(OR(WEEKDAY(Tabla15[[#This Row],[Fecha]],2)=6,WEEKDAY(Tabla15[[#This Row],[Fecha]],2)=7),"Fin de semana","Semana")</f>
        <v>Semana</v>
      </c>
    </row>
    <row r="738" spans="1:14" ht="12.75" customHeight="1" x14ac:dyDescent="0.25">
      <c r="A738" s="11" t="str">
        <f>_xlfn.XLOOKUP(Tabla15[[#This Row],[GPS]],Hoja3!A:A,Hoja3!B:B)</f>
        <v>CAMIONETA</v>
      </c>
      <c r="B738" s="11" t="str">
        <f>_xlfn.XLOOKUP(GPS!D738,Hoja3!A:A,Hoja3!D:D)</f>
        <v>BENCINA</v>
      </c>
      <c r="C738" s="12" t="str">
        <f>_xlfn.XLOOKUP(Tabla15[[#This Row],[GPS]],Hoja3!A:A,Hoja3!C:C)</f>
        <v>VG PIÑALEO</v>
      </c>
      <c r="D738" s="12" t="s">
        <v>114</v>
      </c>
      <c r="E738" s="13">
        <v>46170</v>
      </c>
      <c r="F738" s="11">
        <v>0</v>
      </c>
      <c r="G738" s="11">
        <v>65.430000000000007</v>
      </c>
      <c r="H738" s="11">
        <v>1</v>
      </c>
      <c r="I738" s="11">
        <v>35.664700000000003</v>
      </c>
      <c r="J738" s="11">
        <v>105.0001</v>
      </c>
      <c r="K738" s="11">
        <v>0</v>
      </c>
      <c r="L738" s="15">
        <f t="shared" si="11"/>
        <v>5.9481818181818191</v>
      </c>
      <c r="M738" s="14">
        <f>IF(Tabla15[[#This Row],[COMBUSTIBLE]]="PETRÓLEO",L738*$Q$2,L738*$Q$4)</f>
        <v>9219.6818181818198</v>
      </c>
      <c r="N738" s="12" t="str">
        <f>IF(OR(WEEKDAY(Tabla15[[#This Row],[Fecha]],2)=6,WEEKDAY(Tabla15[[#This Row],[Fecha]],2)=7),"Fin de semana","Semana")</f>
        <v>Semana</v>
      </c>
    </row>
    <row r="739" spans="1:14" ht="12.75" customHeight="1" x14ac:dyDescent="0.25">
      <c r="A739" s="11" t="str">
        <f>_xlfn.XLOOKUP(Tabla15[[#This Row],[GPS]],Hoja3!A:A,Hoja3!B:B)</f>
        <v>TRACTOR</v>
      </c>
      <c r="B739" s="11" t="str">
        <f>_xlfn.XLOOKUP(GPS!D739,Hoja3!A:A,Hoja3!D:D)</f>
        <v>PETRÓLEO</v>
      </c>
      <c r="C739" s="12" t="str">
        <f>_xlfn.XLOOKUP(Tabla15[[#This Row],[GPS]],Hoja3!A:A,Hoja3!C:C)</f>
        <v>T6</v>
      </c>
      <c r="D739" s="12" t="s">
        <v>25</v>
      </c>
      <c r="E739" s="13">
        <v>46169</v>
      </c>
      <c r="F739" s="11">
        <v>0</v>
      </c>
      <c r="G739" s="11">
        <v>0.01</v>
      </c>
      <c r="H739" s="11">
        <v>0</v>
      </c>
      <c r="I739" s="11">
        <v>16.056799999999999</v>
      </c>
      <c r="J739" s="11">
        <v>16.056799999999999</v>
      </c>
      <c r="K739" s="11">
        <v>0</v>
      </c>
      <c r="L739" s="15">
        <f t="shared" si="11"/>
        <v>1.6666666666666668E-3</v>
      </c>
      <c r="M739" s="14">
        <f>IF(Tabla15[[#This Row],[COMBUSTIBLE]]="PETRÓLEO",L739*$Q$2,L739*$Q$4)</f>
        <v>2.0016666666666669</v>
      </c>
      <c r="N739" s="12" t="str">
        <f>IF(OR(WEEKDAY(Tabla15[[#This Row],[Fecha]],2)=6,WEEKDAY(Tabla15[[#This Row],[Fecha]],2)=7),"Fin de semana","Semana")</f>
        <v>Semana</v>
      </c>
    </row>
    <row r="740" spans="1:14" ht="12.75" customHeight="1" x14ac:dyDescent="0.25">
      <c r="A740" s="11" t="str">
        <f>_xlfn.XLOOKUP(Tabla15[[#This Row],[GPS]],Hoja3!A:A,Hoja3!B:B)</f>
        <v>CAMIONETA</v>
      </c>
      <c r="B740" s="11" t="str">
        <f>_xlfn.XLOOKUP(GPS!D740,Hoja3!A:A,Hoja3!D:D)</f>
        <v>BENCINA</v>
      </c>
      <c r="C740" s="12" t="str">
        <f>_xlfn.XLOOKUP(Tabla15[[#This Row],[GPS]],Hoja3!A:A,Hoja3!C:C)</f>
        <v>VG GERARDO</v>
      </c>
      <c r="D740" s="12" t="s">
        <v>118</v>
      </c>
      <c r="E740" s="13">
        <v>46162</v>
      </c>
      <c r="F740" s="11">
        <v>0</v>
      </c>
      <c r="G740" s="11">
        <v>69.64</v>
      </c>
      <c r="H740" s="11">
        <v>1</v>
      </c>
      <c r="I740" s="11">
        <v>30.124300000000002</v>
      </c>
      <c r="J740" s="11">
        <v>80.000100000000003</v>
      </c>
      <c r="K740" s="11">
        <v>0</v>
      </c>
      <c r="L740" s="15">
        <f t="shared" si="11"/>
        <v>6.330909090909091</v>
      </c>
      <c r="M740" s="14">
        <f>IF(Tabla15[[#This Row],[COMBUSTIBLE]]="PETRÓLEO",L740*$Q$2,L740*$Q$4)</f>
        <v>9812.9090909090919</v>
      </c>
      <c r="N740" s="12" t="str">
        <f>IF(OR(WEEKDAY(Tabla15[[#This Row],[Fecha]],2)=6,WEEKDAY(Tabla15[[#This Row],[Fecha]],2)=7),"Fin de semana","Semana")</f>
        <v>Semana</v>
      </c>
    </row>
    <row r="741" spans="1:14" ht="12.75" customHeight="1" x14ac:dyDescent="0.25">
      <c r="A741" s="11" t="str">
        <f>_xlfn.XLOOKUP(Tabla15[[#This Row],[GPS]],Hoja3!A:A,Hoja3!B:B)</f>
        <v>CAMIONETA</v>
      </c>
      <c r="B741" s="11" t="str">
        <f>_xlfn.XLOOKUP(GPS!D741,Hoja3!A:A,Hoja3!D:D)</f>
        <v>BENCINA</v>
      </c>
      <c r="C741" s="12" t="str">
        <f>_xlfn.XLOOKUP(Tabla15[[#This Row],[GPS]],Hoja3!A:A,Hoja3!C:C)</f>
        <v>VG PIÑALEO</v>
      </c>
      <c r="D741" s="12" t="s">
        <v>114</v>
      </c>
      <c r="E741" s="13">
        <v>46163</v>
      </c>
      <c r="F741" s="11">
        <v>0</v>
      </c>
      <c r="G741" s="11">
        <v>11.67</v>
      </c>
      <c r="H741" s="11">
        <v>1</v>
      </c>
      <c r="I741" s="11">
        <v>31.475999999999999</v>
      </c>
      <c r="J741" s="11">
        <v>76.061599999999999</v>
      </c>
      <c r="K741" s="11">
        <v>0</v>
      </c>
      <c r="L741" s="15">
        <f t="shared" si="11"/>
        <v>1.0609090909090908</v>
      </c>
      <c r="M741" s="14">
        <f>IF(Tabla15[[#This Row],[COMBUSTIBLE]]="PETRÓLEO",L741*$Q$2,L741*$Q$4)</f>
        <v>1644.4090909090908</v>
      </c>
      <c r="N741" s="12" t="str">
        <f>IF(OR(WEEKDAY(Tabla15[[#This Row],[Fecha]],2)=6,WEEKDAY(Tabla15[[#This Row],[Fecha]],2)=7),"Fin de semana","Semana")</f>
        <v>Semana</v>
      </c>
    </row>
    <row r="742" spans="1:14" ht="12.75" customHeight="1" x14ac:dyDescent="0.25">
      <c r="A742" s="11" t="str">
        <f>_xlfn.XLOOKUP(Tabla15[[#This Row],[GPS]],Hoja3!A:A,Hoja3!B:B)</f>
        <v>CAMIONETA</v>
      </c>
      <c r="B742" s="11" t="str">
        <f>_xlfn.XLOOKUP(GPS!D742,Hoja3!A:A,Hoja3!D:D)</f>
        <v>BENCINA</v>
      </c>
      <c r="C742" s="12" t="str">
        <f>_xlfn.XLOOKUP(Tabla15[[#This Row],[GPS]],Hoja3!A:A,Hoja3!C:C)</f>
        <v>VG GERARDO</v>
      </c>
      <c r="D742" s="12" t="s">
        <v>118</v>
      </c>
      <c r="E742" s="13">
        <v>46169</v>
      </c>
      <c r="F742" s="11">
        <v>0</v>
      </c>
      <c r="G742" s="11">
        <v>1.17</v>
      </c>
      <c r="H742" s="11">
        <v>1</v>
      </c>
      <c r="I742" s="11">
        <v>7.9218999999999999</v>
      </c>
      <c r="J742" s="11">
        <v>33</v>
      </c>
      <c r="K742" s="11">
        <v>0</v>
      </c>
      <c r="L742" s="15">
        <f t="shared" si="11"/>
        <v>0.10636363636363635</v>
      </c>
      <c r="M742" s="14">
        <f>IF(Tabla15[[#This Row],[COMBUSTIBLE]]="PETRÓLEO",L742*$Q$2,L742*$Q$4)</f>
        <v>164.86363636363635</v>
      </c>
      <c r="N742" s="12" t="str">
        <f>IF(OR(WEEKDAY(Tabla15[[#This Row],[Fecha]],2)=6,WEEKDAY(Tabla15[[#This Row],[Fecha]],2)=7),"Fin de semana","Semana")</f>
        <v>Semana</v>
      </c>
    </row>
    <row r="743" spans="1:14" ht="12.75" customHeight="1" x14ac:dyDescent="0.25">
      <c r="A743" s="11" t="str">
        <f>_xlfn.XLOOKUP(Tabla15[[#This Row],[GPS]],Hoja3!A:A,Hoja3!B:B)</f>
        <v>CAMIONETA</v>
      </c>
      <c r="B743" s="11" t="str">
        <f>_xlfn.XLOOKUP(GPS!D743,Hoja3!A:A,Hoja3!D:D)</f>
        <v>BENCINA</v>
      </c>
      <c r="C743" s="12" t="str">
        <f>_xlfn.XLOOKUP(Tabla15[[#This Row],[GPS]],Hoja3!A:A,Hoja3!C:C)</f>
        <v>VG PIÑALEO</v>
      </c>
      <c r="D743" s="12" t="s">
        <v>114</v>
      </c>
      <c r="E743" s="13">
        <v>46168</v>
      </c>
      <c r="F743" s="11">
        <v>0</v>
      </c>
      <c r="G743" s="11">
        <v>49.07</v>
      </c>
      <c r="H743" s="11">
        <v>1</v>
      </c>
      <c r="I743" s="11">
        <v>39.300600000000003</v>
      </c>
      <c r="J743" s="11">
        <v>115.0001</v>
      </c>
      <c r="K743" s="11">
        <v>0</v>
      </c>
      <c r="L743" s="15">
        <f t="shared" si="11"/>
        <v>4.4609090909090909</v>
      </c>
      <c r="M743" s="14">
        <f>IF(Tabla15[[#This Row],[COMBUSTIBLE]]="PETRÓLEO",L743*$Q$2,L743*$Q$4)</f>
        <v>6914.409090909091</v>
      </c>
      <c r="N743" s="12" t="str">
        <f>IF(OR(WEEKDAY(Tabla15[[#This Row],[Fecha]],2)=6,WEEKDAY(Tabla15[[#This Row],[Fecha]],2)=7),"Fin de semana","Semana")</f>
        <v>Semana</v>
      </c>
    </row>
    <row r="744" spans="1:14" ht="12.75" customHeight="1" x14ac:dyDescent="0.25">
      <c r="A744" s="11" t="str">
        <f>_xlfn.XLOOKUP(Tabla15[[#This Row],[GPS]],Hoja3!A:A,Hoja3!B:B)</f>
        <v>CAMIONETA</v>
      </c>
      <c r="B744" s="11" t="str">
        <f>_xlfn.XLOOKUP(GPS!D744,Hoja3!A:A,Hoja3!D:D)</f>
        <v>BENCINA</v>
      </c>
      <c r="C744" s="12" t="str">
        <f>_xlfn.XLOOKUP(Tabla15[[#This Row],[GPS]],Hoja3!A:A,Hoja3!C:C)</f>
        <v>VG PIÑALEO</v>
      </c>
      <c r="D744" s="12" t="s">
        <v>114</v>
      </c>
      <c r="E744" s="13">
        <v>46162</v>
      </c>
      <c r="F744" s="11">
        <v>0</v>
      </c>
      <c r="G744" s="11">
        <v>28.72</v>
      </c>
      <c r="H744" s="11">
        <v>1</v>
      </c>
      <c r="I744" s="11">
        <v>30.760899999999999</v>
      </c>
      <c r="J744" s="11">
        <v>84.000100000000003</v>
      </c>
      <c r="K744" s="11">
        <v>0</v>
      </c>
      <c r="L744" s="15">
        <f t="shared" si="11"/>
        <v>2.6109090909090908</v>
      </c>
      <c r="M744" s="14">
        <f>IF(Tabla15[[#This Row],[COMBUSTIBLE]]="PETRÓLEO",L744*$Q$2,L744*$Q$4)</f>
        <v>4046.909090909091</v>
      </c>
      <c r="N744" s="12" t="str">
        <f>IF(OR(WEEKDAY(Tabla15[[#This Row],[Fecha]],2)=6,WEEKDAY(Tabla15[[#This Row],[Fecha]],2)=7),"Fin de semana","Semana")</f>
        <v>Semana</v>
      </c>
    </row>
    <row r="745" spans="1:14" ht="12.75" customHeight="1" x14ac:dyDescent="0.25">
      <c r="A745" s="11" t="str">
        <f>_xlfn.XLOOKUP(Tabla15[[#This Row],[GPS]],Hoja3!A:A,Hoja3!B:B)</f>
        <v>CAMIONETA</v>
      </c>
      <c r="B745" s="11" t="str">
        <f>_xlfn.XLOOKUP(GPS!D745,Hoja3!A:A,Hoja3!D:D)</f>
        <v>BENCINA</v>
      </c>
      <c r="C745" s="12" t="str">
        <f>_xlfn.XLOOKUP(Tabla15[[#This Row],[GPS]],Hoja3!A:A,Hoja3!C:C)</f>
        <v>VG GERARDO</v>
      </c>
      <c r="D745" s="12" t="s">
        <v>118</v>
      </c>
      <c r="E745" s="13">
        <v>46164</v>
      </c>
      <c r="F745" s="11">
        <v>0</v>
      </c>
      <c r="G745" s="11">
        <v>15.13</v>
      </c>
      <c r="H745" s="11">
        <v>1</v>
      </c>
      <c r="I745" s="11">
        <v>25.984400000000001</v>
      </c>
      <c r="J745" s="11">
        <v>69</v>
      </c>
      <c r="K745" s="11">
        <v>0</v>
      </c>
      <c r="L745" s="15">
        <f t="shared" si="11"/>
        <v>1.3754545454545455</v>
      </c>
      <c r="M745" s="14">
        <f>IF(Tabla15[[#This Row],[COMBUSTIBLE]]="PETRÓLEO",L745*$Q$2,L745*$Q$4)</f>
        <v>2131.9545454545455</v>
      </c>
      <c r="N745" s="12" t="str">
        <f>IF(OR(WEEKDAY(Tabla15[[#This Row],[Fecha]],2)=6,WEEKDAY(Tabla15[[#This Row],[Fecha]],2)=7),"Fin de semana","Semana")</f>
        <v>Semana</v>
      </c>
    </row>
    <row r="746" spans="1:14" ht="12.75" customHeight="1" x14ac:dyDescent="0.25">
      <c r="A746" s="11" t="str">
        <f>_xlfn.XLOOKUP(Tabla15[[#This Row],[GPS]],Hoja3!A:A,Hoja3!B:B)</f>
        <v>CAMIONETA</v>
      </c>
      <c r="B746" s="11" t="str">
        <f>_xlfn.XLOOKUP(GPS!D746,Hoja3!A:A,Hoja3!D:D)</f>
        <v>BENCINA</v>
      </c>
      <c r="C746" s="12" t="str">
        <f>_xlfn.XLOOKUP(Tabla15[[#This Row],[GPS]],Hoja3!A:A,Hoja3!C:C)</f>
        <v>VG GERARDO</v>
      </c>
      <c r="D746" s="12" t="s">
        <v>118</v>
      </c>
      <c r="E746" s="13">
        <v>46163</v>
      </c>
      <c r="F746" s="11">
        <v>0</v>
      </c>
      <c r="G746" s="11">
        <v>0.41</v>
      </c>
      <c r="H746" s="11">
        <v>0</v>
      </c>
      <c r="I746" s="11">
        <v>7.8155000000000001</v>
      </c>
      <c r="J746" s="11">
        <v>28</v>
      </c>
      <c r="K746" s="11">
        <v>0</v>
      </c>
      <c r="L746" s="15">
        <f t="shared" si="11"/>
        <v>3.727272727272727E-2</v>
      </c>
      <c r="M746" s="14">
        <f>IF(Tabla15[[#This Row],[COMBUSTIBLE]]="PETRÓLEO",L746*$Q$2,L746*$Q$4)</f>
        <v>57.772727272727266</v>
      </c>
      <c r="N746" s="12" t="str">
        <f>IF(OR(WEEKDAY(Tabla15[[#This Row],[Fecha]],2)=6,WEEKDAY(Tabla15[[#This Row],[Fecha]],2)=7),"Fin de semana","Semana")</f>
        <v>Semana</v>
      </c>
    </row>
    <row r="747" spans="1:14" ht="12.75" customHeight="1" x14ac:dyDescent="0.25">
      <c r="A747" s="11" t="str">
        <f>_xlfn.XLOOKUP(Tabla15[[#This Row],[GPS]],Hoja3!A:A,Hoja3!B:B)</f>
        <v>CAMIONETA</v>
      </c>
      <c r="B747" s="11" t="str">
        <f>_xlfn.XLOOKUP(GPS!D747,Hoja3!A:A,Hoja3!D:D)</f>
        <v>PETRÓLEO</v>
      </c>
      <c r="C747" s="12" t="str">
        <f>_xlfn.XLOOKUP(Tabla15[[#This Row],[GPS]],Hoja3!A:A,Hoja3!C:C)</f>
        <v>SERGIO ROJAS</v>
      </c>
      <c r="D747" s="12" t="s">
        <v>128</v>
      </c>
      <c r="E747" s="13">
        <v>46170</v>
      </c>
      <c r="F747" s="11">
        <v>0</v>
      </c>
      <c r="G747" s="11">
        <v>38.82</v>
      </c>
      <c r="H747" s="11">
        <v>1</v>
      </c>
      <c r="I747" s="11">
        <v>24.913900000000002</v>
      </c>
      <c r="J747" s="11">
        <v>92</v>
      </c>
      <c r="K747" s="11">
        <v>0</v>
      </c>
      <c r="L747" s="15">
        <f t="shared" si="11"/>
        <v>4.3133333333333335</v>
      </c>
      <c r="M747" s="14">
        <f>IF(Tabla15[[#This Row],[COMBUSTIBLE]]="PETRÓLEO",L747*$Q$2,L747*$Q$4)</f>
        <v>5180.3133333333335</v>
      </c>
      <c r="N747" s="12" t="str">
        <f>IF(OR(WEEKDAY(Tabla15[[#This Row],[Fecha]],2)=6,WEEKDAY(Tabla15[[#This Row],[Fecha]],2)=7),"Fin de semana","Semana")</f>
        <v>Semana</v>
      </c>
    </row>
    <row r="748" spans="1:14" ht="12.75" customHeight="1" x14ac:dyDescent="0.25">
      <c r="A748" s="11" t="str">
        <f>_xlfn.XLOOKUP(Tabla15[[#This Row],[GPS]],Hoja3!A:A,Hoja3!B:B)</f>
        <v>CAMIONETA</v>
      </c>
      <c r="B748" s="11" t="str">
        <f>_xlfn.XLOOKUP(GPS!D748,Hoja3!A:A,Hoja3!D:D)</f>
        <v>BENCINA</v>
      </c>
      <c r="C748" s="12" t="str">
        <f>_xlfn.XLOOKUP(Tabla15[[#This Row],[GPS]],Hoja3!A:A,Hoja3!C:C)</f>
        <v>VG CERRILLOS</v>
      </c>
      <c r="D748" s="12" t="s">
        <v>137</v>
      </c>
      <c r="E748" s="13">
        <v>46168</v>
      </c>
      <c r="F748" s="11">
        <v>0</v>
      </c>
      <c r="G748" s="11">
        <v>99.78</v>
      </c>
      <c r="H748" s="11">
        <v>1</v>
      </c>
      <c r="I748" s="11">
        <v>29.925599999999999</v>
      </c>
      <c r="J748" s="11">
        <v>93.229699999999994</v>
      </c>
      <c r="K748" s="11">
        <v>0</v>
      </c>
      <c r="L748" s="15">
        <f t="shared" si="11"/>
        <v>9.0709090909090904</v>
      </c>
      <c r="M748" s="14">
        <f>IF(Tabla15[[#This Row],[COMBUSTIBLE]]="PETRÓLEO",L748*$Q$2,L748*$Q$4)</f>
        <v>14059.90909090909</v>
      </c>
      <c r="N748" s="12" t="str">
        <f>IF(OR(WEEKDAY(Tabla15[[#This Row],[Fecha]],2)=6,WEEKDAY(Tabla15[[#This Row],[Fecha]],2)=7),"Fin de semana","Semana")</f>
        <v>Semana</v>
      </c>
    </row>
    <row r="749" spans="1:14" ht="12.75" customHeight="1" x14ac:dyDescent="0.25">
      <c r="A749" s="11" t="str">
        <f>_xlfn.XLOOKUP(Tabla15[[#This Row],[GPS]],Hoja3!A:A,Hoja3!B:B)</f>
        <v>CAMIONETA</v>
      </c>
      <c r="B749" s="11" t="str">
        <f>_xlfn.XLOOKUP(GPS!D749,Hoja3!A:A,Hoja3!D:D)</f>
        <v>BENCINA</v>
      </c>
      <c r="C749" s="12" t="str">
        <f>_xlfn.XLOOKUP(Tabla15[[#This Row],[GPS]],Hoja3!A:A,Hoja3!C:C)</f>
        <v>VG GERARDO</v>
      </c>
      <c r="D749" s="12" t="s">
        <v>118</v>
      </c>
      <c r="E749" s="13">
        <v>46168</v>
      </c>
      <c r="F749" s="11">
        <v>0</v>
      </c>
      <c r="G749" s="11">
        <v>0.01</v>
      </c>
      <c r="H749" s="11">
        <v>0</v>
      </c>
      <c r="I749" s="11">
        <v>4.1715999999999998</v>
      </c>
      <c r="J749" s="11">
        <v>11.334199999999999</v>
      </c>
      <c r="K749" s="11">
        <v>0</v>
      </c>
      <c r="L749" s="15">
        <f t="shared" si="11"/>
        <v>9.0909090909090909E-4</v>
      </c>
      <c r="M749" s="14">
        <f>IF(Tabla15[[#This Row],[COMBUSTIBLE]]="PETRÓLEO",L749*$Q$2,L749*$Q$4)</f>
        <v>1.4090909090909092</v>
      </c>
      <c r="N749" s="12" t="str">
        <f>IF(OR(WEEKDAY(Tabla15[[#This Row],[Fecha]],2)=6,WEEKDAY(Tabla15[[#This Row],[Fecha]],2)=7),"Fin de semana","Semana")</f>
        <v>Semana</v>
      </c>
    </row>
    <row r="750" spans="1:14" ht="12.75" customHeight="1" x14ac:dyDescent="0.25">
      <c r="A750" s="11" t="str">
        <f>_xlfn.XLOOKUP(Tabla15[[#This Row],[GPS]],Hoja3!A:A,Hoja3!B:B)</f>
        <v>CAMIONETA</v>
      </c>
      <c r="B750" s="11" t="str">
        <f>_xlfn.XLOOKUP(GPS!D750,Hoja3!A:A,Hoja3!D:D)</f>
        <v>BENCINA</v>
      </c>
      <c r="C750" s="12" t="str">
        <f>_xlfn.XLOOKUP(Tabla15[[#This Row],[GPS]],Hoja3!A:A,Hoja3!C:C)</f>
        <v>VG PIÑALEO</v>
      </c>
      <c r="D750" s="12" t="s">
        <v>114</v>
      </c>
      <c r="E750" s="13">
        <v>46164</v>
      </c>
      <c r="F750" s="11">
        <v>0</v>
      </c>
      <c r="G750" s="11">
        <v>97.22</v>
      </c>
      <c r="H750" s="11">
        <v>1</v>
      </c>
      <c r="I750" s="11">
        <v>43.018900000000002</v>
      </c>
      <c r="J750" s="11">
        <v>117.9909</v>
      </c>
      <c r="K750" s="11">
        <v>0</v>
      </c>
      <c r="L750" s="15">
        <f t="shared" si="11"/>
        <v>8.8381818181818179</v>
      </c>
      <c r="M750" s="14">
        <f>IF(Tabla15[[#This Row],[COMBUSTIBLE]]="PETRÓLEO",L750*$Q$2,L750*$Q$4)</f>
        <v>13699.181818181818</v>
      </c>
      <c r="N750" s="12" t="str">
        <f>IF(OR(WEEKDAY(Tabla15[[#This Row],[Fecha]],2)=6,WEEKDAY(Tabla15[[#This Row],[Fecha]],2)=7),"Fin de semana","Semana")</f>
        <v>Semana</v>
      </c>
    </row>
    <row r="751" spans="1:14" ht="12.75" customHeight="1" x14ac:dyDescent="0.25">
      <c r="A751" s="11" t="str">
        <f>_xlfn.XLOOKUP(Tabla15[[#This Row],[GPS]],Hoja3!A:A,Hoja3!B:B)</f>
        <v>CAMIONETA</v>
      </c>
      <c r="B751" s="11" t="str">
        <f>_xlfn.XLOOKUP(GPS!D751,Hoja3!A:A,Hoja3!D:D)</f>
        <v>PETRÓLEO</v>
      </c>
      <c r="C751" s="12" t="str">
        <f>_xlfn.XLOOKUP(Tabla15[[#This Row],[GPS]],Hoja3!A:A,Hoja3!C:C)</f>
        <v>SERGIO ROJAS</v>
      </c>
      <c r="D751" s="12" t="s">
        <v>128</v>
      </c>
      <c r="E751" s="13">
        <v>46169</v>
      </c>
      <c r="F751" s="11">
        <v>0</v>
      </c>
      <c r="G751" s="11">
        <v>40</v>
      </c>
      <c r="H751" s="11">
        <v>1</v>
      </c>
      <c r="I751" s="11">
        <v>22.052299999999999</v>
      </c>
      <c r="J751" s="11">
        <v>97.396699999999996</v>
      </c>
      <c r="K751" s="11">
        <v>0</v>
      </c>
      <c r="L751" s="15">
        <f t="shared" si="11"/>
        <v>4.4444444444444446</v>
      </c>
      <c r="M751" s="14">
        <f>IF(Tabla15[[#This Row],[COMBUSTIBLE]]="PETRÓLEO",L751*$Q$2,L751*$Q$4)</f>
        <v>5337.7777777777783</v>
      </c>
      <c r="N751" s="12" t="str">
        <f>IF(OR(WEEKDAY(Tabla15[[#This Row],[Fecha]],2)=6,WEEKDAY(Tabla15[[#This Row],[Fecha]],2)=7),"Fin de semana","Semana")</f>
        <v>Semana</v>
      </c>
    </row>
    <row r="752" spans="1:14" x14ac:dyDescent="0.25">
      <c r="A752" s="11" t="str">
        <f>_xlfn.XLOOKUP(Tabla15[[#This Row],[GPS]],Hoja3!A:A,Hoja3!B:B)</f>
        <v>CAMIONETA</v>
      </c>
      <c r="B752" s="11" t="str">
        <f>_xlfn.XLOOKUP(GPS!D752,Hoja3!A:A,Hoja3!D:D)</f>
        <v>PETRÓLEO</v>
      </c>
      <c r="C752" s="12" t="str">
        <f>_xlfn.XLOOKUP(Tabla15[[#This Row],[GPS]],Hoja3!A:A,Hoja3!C:C)</f>
        <v>SERGIO ROJAS</v>
      </c>
      <c r="D752" s="12" t="s">
        <v>128</v>
      </c>
      <c r="E752" s="13"/>
      <c r="F752" s="11"/>
      <c r="G752" s="77"/>
      <c r="H752" s="11"/>
      <c r="I752" s="11"/>
      <c r="J752" s="11"/>
      <c r="K752" s="11"/>
      <c r="L752" s="15">
        <f>IF(AND(A752="CAMIONETA",B752="BENCINA"),G752/$Q$5,IF(A752="TRACTOR",G752/$Q$3,G752/$Q$1))</f>
        <v>0</v>
      </c>
      <c r="M752" s="14">
        <f>IF(Tabla15[[#This Row],[COMBUSTIBLE]]="PETRÓLEO",L752*$Q$2,L752*$Q$4)</f>
        <v>0</v>
      </c>
      <c r="N752" s="12" t="str">
        <f>IF(OR(WEEKDAY(Tabla15[[#This Row],[Fecha]],2)=6,WEEKDAY(Tabla15[[#This Row],[Fecha]],2)=7),"Fin de semana","Semana")</f>
        <v>Fin de semana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topLeftCell="A2" workbookViewId="0">
      <selection activeCell="C3" sqref="C3"/>
    </sheetView>
  </sheetViews>
  <sheetFormatPr baseColWidth="10" defaultRowHeight="15" x14ac:dyDescent="0.25"/>
  <cols>
    <col min="1" max="1" width="19.5703125" bestFit="1" customWidth="1"/>
    <col min="2" max="2" width="7.28515625" style="4" customWidth="1"/>
    <col min="3" max="3" width="17.7109375" style="22" customWidth="1"/>
    <col min="4" max="4" width="13.85546875" customWidth="1"/>
    <col min="5" max="5" width="13.7109375" customWidth="1"/>
    <col min="6" max="6" width="17.85546875" bestFit="1" customWidth="1"/>
    <col min="7" max="7" width="16.28515625" bestFit="1" customWidth="1"/>
  </cols>
  <sheetData>
    <row r="1" spans="1:7" x14ac:dyDescent="0.25">
      <c r="B1" s="16" t="s">
        <v>202</v>
      </c>
      <c r="C1"/>
    </row>
    <row r="2" spans="1:7" x14ac:dyDescent="0.25">
      <c r="A2" s="16" t="s">
        <v>0</v>
      </c>
      <c r="B2" t="s">
        <v>203</v>
      </c>
      <c r="C2" t="s">
        <v>1</v>
      </c>
      <c r="D2" s="2" t="s">
        <v>2</v>
      </c>
      <c r="E2" t="s">
        <v>3</v>
      </c>
      <c r="F2" s="16" t="s">
        <v>0</v>
      </c>
      <c r="G2" t="s">
        <v>3</v>
      </c>
    </row>
    <row r="3" spans="1:7" x14ac:dyDescent="0.25">
      <c r="A3" s="17" t="s">
        <v>4</v>
      </c>
      <c r="B3" s="1">
        <v>41</v>
      </c>
      <c r="C3" s="1">
        <v>2394.11</v>
      </c>
      <c r="D3" s="80">
        <v>8.2919657444543951E-2</v>
      </c>
      <c r="E3" s="81">
        <v>319480.6788888888</v>
      </c>
      <c r="F3" s="17" t="s">
        <v>6</v>
      </c>
      <c r="G3" s="4">
        <v>390919.45116161619</v>
      </c>
    </row>
    <row r="4" spans="1:7" x14ac:dyDescent="0.25">
      <c r="A4" s="17" t="s">
        <v>5</v>
      </c>
      <c r="B4" s="1">
        <v>52</v>
      </c>
      <c r="C4" s="1">
        <v>1650.85</v>
      </c>
      <c r="D4" s="80">
        <v>5.7176953645540665E-2</v>
      </c>
      <c r="E4" s="81">
        <v>220296.76111111103</v>
      </c>
      <c r="F4" s="17" t="s">
        <v>8</v>
      </c>
      <c r="G4" s="4">
        <v>2168072.7546464629</v>
      </c>
    </row>
    <row r="5" spans="1:7" x14ac:dyDescent="0.25">
      <c r="A5" s="17" t="s">
        <v>7</v>
      </c>
      <c r="B5" s="1">
        <v>48</v>
      </c>
      <c r="C5" s="1">
        <v>1607.5999999999997</v>
      </c>
      <c r="D5" s="80">
        <v>5.5678996081152864E-2</v>
      </c>
      <c r="E5" s="81">
        <v>214525.28888888887</v>
      </c>
      <c r="F5" s="17" t="s">
        <v>10</v>
      </c>
      <c r="G5" s="4">
        <v>1293902.134747474</v>
      </c>
    </row>
    <row r="6" spans="1:7" x14ac:dyDescent="0.25">
      <c r="A6" s="17" t="s">
        <v>9</v>
      </c>
      <c r="B6" s="1">
        <v>44</v>
      </c>
      <c r="C6" s="1">
        <v>1983.1399999999999</v>
      </c>
      <c r="D6" s="80">
        <v>6.8685770271446581E-2</v>
      </c>
      <c r="E6" s="81">
        <v>264639.01555555564</v>
      </c>
      <c r="F6" s="17" t="s">
        <v>12</v>
      </c>
      <c r="G6" s="4">
        <v>3852894.3405555529</v>
      </c>
    </row>
    <row r="7" spans="1:7" x14ac:dyDescent="0.25">
      <c r="A7" s="17" t="s">
        <v>11</v>
      </c>
      <c r="B7" s="1">
        <v>43</v>
      </c>
      <c r="C7" s="1">
        <v>4742.93</v>
      </c>
      <c r="D7" s="80">
        <v>0.16427070221646084</v>
      </c>
      <c r="E7" s="81">
        <v>632917.65888888913</v>
      </c>
    </row>
    <row r="8" spans="1:7" x14ac:dyDescent="0.25">
      <c r="A8" s="17" t="s">
        <v>13</v>
      </c>
      <c r="B8" s="1">
        <v>40</v>
      </c>
      <c r="C8" s="1">
        <v>1918.3700000000006</v>
      </c>
      <c r="D8" s="80">
        <v>6.6442470584847743E-2</v>
      </c>
      <c r="E8" s="81">
        <v>255995.8188888889</v>
      </c>
      <c r="F8" s="18" t="s">
        <v>0</v>
      </c>
      <c r="G8" s="19" t="s">
        <v>3</v>
      </c>
    </row>
    <row r="9" spans="1:7" x14ac:dyDescent="0.25">
      <c r="A9" s="17" t="s">
        <v>14</v>
      </c>
      <c r="B9" s="1">
        <v>22</v>
      </c>
      <c r="C9" s="1">
        <v>365.34000000000003</v>
      </c>
      <c r="D9" s="80">
        <v>1.8980247973645548E-2</v>
      </c>
      <c r="E9" s="81">
        <v>73128.89</v>
      </c>
      <c r="F9" s="20" t="s">
        <v>16</v>
      </c>
      <c r="G9" s="19"/>
    </row>
    <row r="10" spans="1:7" x14ac:dyDescent="0.25">
      <c r="A10" s="17" t="s">
        <v>15</v>
      </c>
      <c r="B10" s="1">
        <v>24</v>
      </c>
      <c r="C10" s="1">
        <v>311.07999999999993</v>
      </c>
      <c r="D10" s="80">
        <v>1.6161316964038035E-2</v>
      </c>
      <c r="E10" s="81">
        <v>62267.846666666657</v>
      </c>
      <c r="F10" s="21" t="s">
        <v>18</v>
      </c>
      <c r="G10" s="19">
        <v>919242.99999999977</v>
      </c>
    </row>
    <row r="11" spans="1:7" x14ac:dyDescent="0.25">
      <c r="A11" s="17" t="s">
        <v>17</v>
      </c>
      <c r="B11" s="1">
        <v>25</v>
      </c>
      <c r="C11" s="1">
        <v>372.88000000000005</v>
      </c>
      <c r="D11" s="80">
        <v>1.9371968206090079E-2</v>
      </c>
      <c r="E11" s="81">
        <v>74638.146666666638</v>
      </c>
      <c r="F11" s="21" t="s">
        <v>20</v>
      </c>
      <c r="G11" s="19">
        <v>1907855.2222222229</v>
      </c>
    </row>
    <row r="12" spans="1:7" x14ac:dyDescent="0.25">
      <c r="A12" s="17" t="s">
        <v>19</v>
      </c>
      <c r="B12" s="1">
        <v>38</v>
      </c>
      <c r="C12" s="1">
        <v>742.80999999999983</v>
      </c>
      <c r="D12" s="80">
        <v>3.8590677170043358E-2</v>
      </c>
      <c r="E12" s="81">
        <v>148685.80166666658</v>
      </c>
      <c r="F12" s="20" t="s">
        <v>22</v>
      </c>
      <c r="G12" s="19"/>
    </row>
    <row r="13" spans="1:7" x14ac:dyDescent="0.25">
      <c r="A13" s="17" t="s">
        <v>21</v>
      </c>
      <c r="B13" s="1">
        <v>28</v>
      </c>
      <c r="C13" s="1">
        <v>673.11</v>
      </c>
      <c r="D13" s="80">
        <v>3.4969602872777561E-2</v>
      </c>
      <c r="E13" s="81">
        <v>134734.185</v>
      </c>
      <c r="F13" s="21" t="s">
        <v>20</v>
      </c>
      <c r="G13" s="19">
        <v>1025796.118333334</v>
      </c>
    </row>
    <row r="14" spans="1:7" x14ac:dyDescent="0.25">
      <c r="A14" s="17" t="s">
        <v>23</v>
      </c>
      <c r="B14" s="1">
        <v>32</v>
      </c>
      <c r="C14" s="1">
        <v>626.51999999999987</v>
      </c>
      <c r="D14" s="80">
        <v>3.2549145892725694E-2</v>
      </c>
      <c r="E14" s="81">
        <v>125408.41999999995</v>
      </c>
      <c r="F14" s="20" t="s">
        <v>12</v>
      </c>
      <c r="G14" s="19">
        <v>3852894.340555557</v>
      </c>
    </row>
    <row r="15" spans="1:7" x14ac:dyDescent="0.25">
      <c r="A15" s="17" t="s">
        <v>24</v>
      </c>
      <c r="B15" s="1">
        <v>23</v>
      </c>
      <c r="C15" s="1">
        <v>379.93</v>
      </c>
      <c r="D15" s="80">
        <v>1.9738231818654271E-2</v>
      </c>
      <c r="E15" s="81">
        <v>76049.321666666656</v>
      </c>
    </row>
    <row r="16" spans="1:7" x14ac:dyDescent="0.25">
      <c r="A16" s="17" t="s">
        <v>25</v>
      </c>
      <c r="B16" s="1">
        <v>31</v>
      </c>
      <c r="C16" s="1">
        <v>370.40999999999997</v>
      </c>
      <c r="D16" s="80">
        <v>1.924364606097894E-2</v>
      </c>
      <c r="E16" s="81">
        <v>74143.734999999986</v>
      </c>
      <c r="F16" s="16" t="s">
        <v>0</v>
      </c>
      <c r="G16" t="s">
        <v>3</v>
      </c>
    </row>
    <row r="17" spans="1:7" x14ac:dyDescent="0.25">
      <c r="A17" s="17" t="s">
        <v>26</v>
      </c>
      <c r="B17" s="1">
        <v>42</v>
      </c>
      <c r="C17" s="1">
        <v>413.4</v>
      </c>
      <c r="D17" s="80">
        <v>2.1477074813338451E-2</v>
      </c>
      <c r="E17" s="81">
        <v>82748.900000000009</v>
      </c>
      <c r="F17" s="17" t="s">
        <v>200</v>
      </c>
      <c r="G17" s="4">
        <v>116020.6773232323</v>
      </c>
    </row>
    <row r="18" spans="1:7" x14ac:dyDescent="0.25">
      <c r="A18" s="17" t="s">
        <v>27</v>
      </c>
      <c r="B18" s="1">
        <v>30</v>
      </c>
      <c r="C18" s="1">
        <v>356.57</v>
      </c>
      <c r="D18" s="80">
        <v>1.8524626430072789E-2</v>
      </c>
      <c r="E18" s="81">
        <v>71373.42833333333</v>
      </c>
      <c r="F18" s="17" t="s">
        <v>201</v>
      </c>
      <c r="G18" s="4">
        <v>3736873.6632323228</v>
      </c>
    </row>
    <row r="19" spans="1:7" x14ac:dyDescent="0.25">
      <c r="A19" s="17" t="s">
        <v>28</v>
      </c>
      <c r="B19" s="1">
        <v>20</v>
      </c>
      <c r="C19" s="1">
        <v>146.73000000000005</v>
      </c>
      <c r="D19" s="80">
        <v>7.6229588470274568E-3</v>
      </c>
      <c r="E19" s="81">
        <v>29370.454999999998</v>
      </c>
      <c r="F19" s="17" t="s">
        <v>12</v>
      </c>
      <c r="G19" s="4">
        <v>3852894.3405555552</v>
      </c>
    </row>
    <row r="20" spans="1:7" x14ac:dyDescent="0.25">
      <c r="A20" s="17" t="s">
        <v>29</v>
      </c>
      <c r="B20" s="1">
        <v>9</v>
      </c>
      <c r="C20" s="1">
        <v>239.52999999999997</v>
      </c>
      <c r="D20" s="80">
        <v>1.2444130938652537E-2</v>
      </c>
      <c r="E20" s="81">
        <v>47945.921666666669</v>
      </c>
    </row>
    <row r="21" spans="1:7" x14ac:dyDescent="0.25">
      <c r="A21" s="17" t="s">
        <v>30</v>
      </c>
      <c r="B21" s="1">
        <v>9</v>
      </c>
      <c r="C21" s="1">
        <v>126.4</v>
      </c>
      <c r="D21" s="80">
        <v>6.5667688834203687E-3</v>
      </c>
      <c r="E21" s="81">
        <v>25301.066666666669</v>
      </c>
    </row>
    <row r="22" spans="1:7" x14ac:dyDescent="0.25">
      <c r="A22" s="17" t="s">
        <v>31</v>
      </c>
      <c r="B22" s="1">
        <v>38</v>
      </c>
      <c r="C22" s="1">
        <v>1462.1599999999996</v>
      </c>
      <c r="D22" s="80">
        <v>5.3474509849633776E-2</v>
      </c>
      <c r="E22" s="81">
        <v>206031.63636363635</v>
      </c>
    </row>
    <row r="23" spans="1:7" x14ac:dyDescent="0.25">
      <c r="A23" s="17" t="s">
        <v>32</v>
      </c>
      <c r="B23" s="1">
        <v>55</v>
      </c>
      <c r="C23" s="1">
        <v>2422.5899999999997</v>
      </c>
      <c r="D23" s="80">
        <v>8.8599614827805678E-2</v>
      </c>
      <c r="E23" s="81">
        <v>341364.95454545465</v>
      </c>
    </row>
    <row r="24" spans="1:7" x14ac:dyDescent="0.25">
      <c r="A24" s="17" t="s">
        <v>33</v>
      </c>
      <c r="B24" s="1">
        <v>56</v>
      </c>
      <c r="C24" s="1">
        <v>2638.9099999999989</v>
      </c>
      <c r="D24" s="80">
        <v>9.6510928207102595E-2</v>
      </c>
      <c r="E24" s="81">
        <v>371846.40909090923</v>
      </c>
    </row>
    <row r="25" spans="1:7" x14ac:dyDescent="0.25">
      <c r="A25" s="17" t="s">
        <v>12</v>
      </c>
      <c r="B25">
        <v>750</v>
      </c>
      <c r="C25">
        <v>25945.369999999984</v>
      </c>
      <c r="D25" s="23">
        <v>1</v>
      </c>
      <c r="E25" s="4">
        <v>3852894.3405555566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5"/>
  <sheetViews>
    <sheetView topLeftCell="A39" workbookViewId="0">
      <selection activeCell="B52" sqref="B52"/>
    </sheetView>
  </sheetViews>
  <sheetFormatPr baseColWidth="10" defaultRowHeight="15" x14ac:dyDescent="0.25"/>
  <cols>
    <col min="2" max="2" width="19.5703125" bestFit="1" customWidth="1"/>
    <col min="4" max="4" width="24.140625" bestFit="1" customWidth="1"/>
    <col min="5" max="5" width="18.85546875" customWidth="1"/>
    <col min="10" max="10" width="22.5703125" bestFit="1" customWidth="1"/>
    <col min="11" max="11" width="16.140625" bestFit="1" customWidth="1"/>
  </cols>
  <sheetData>
    <row r="1" spans="1:11" x14ac:dyDescent="0.25">
      <c r="A1" t="s">
        <v>185</v>
      </c>
      <c r="B1" t="s">
        <v>204</v>
      </c>
      <c r="C1" t="s">
        <v>186</v>
      </c>
      <c r="D1" t="s">
        <v>187</v>
      </c>
      <c r="E1" t="s">
        <v>188</v>
      </c>
    </row>
    <row r="2" spans="1:11" x14ac:dyDescent="0.25">
      <c r="A2" s="98">
        <v>46170</v>
      </c>
      <c r="B2" s="1" t="s">
        <v>33</v>
      </c>
      <c r="C2" s="61">
        <v>25300</v>
      </c>
      <c r="D2" s="1" t="s">
        <v>169</v>
      </c>
      <c r="J2" s="16" t="s">
        <v>0</v>
      </c>
      <c r="K2" t="s">
        <v>211</v>
      </c>
    </row>
    <row r="3" spans="1:11" x14ac:dyDescent="0.25">
      <c r="A3" s="98">
        <v>46111</v>
      </c>
      <c r="B3" s="1" t="s">
        <v>33</v>
      </c>
      <c r="C3" s="61">
        <v>12500</v>
      </c>
      <c r="D3" s="1" t="s">
        <v>190</v>
      </c>
      <c r="J3" s="17" t="s">
        <v>4</v>
      </c>
      <c r="K3" s="24">
        <v>155599</v>
      </c>
    </row>
    <row r="4" spans="1:11" x14ac:dyDescent="0.25">
      <c r="A4" s="98">
        <v>46170</v>
      </c>
      <c r="B4" s="1" t="s">
        <v>32</v>
      </c>
      <c r="C4" s="61">
        <v>25300</v>
      </c>
      <c r="D4" s="1" t="s">
        <v>169</v>
      </c>
      <c r="J4" s="17" t="s">
        <v>5</v>
      </c>
      <c r="K4" s="24">
        <v>107800</v>
      </c>
    </row>
    <row r="5" spans="1:11" x14ac:dyDescent="0.25">
      <c r="A5" s="98">
        <v>46111</v>
      </c>
      <c r="B5" s="1" t="s">
        <v>32</v>
      </c>
      <c r="C5" s="61">
        <v>12500</v>
      </c>
      <c r="D5" s="1" t="s">
        <v>190</v>
      </c>
      <c r="J5" s="17" t="s">
        <v>7</v>
      </c>
      <c r="K5" s="24">
        <v>120599</v>
      </c>
    </row>
    <row r="6" spans="1:11" x14ac:dyDescent="0.25">
      <c r="A6" s="98">
        <v>46170</v>
      </c>
      <c r="B6" s="1" t="s">
        <v>31</v>
      </c>
      <c r="C6" s="61">
        <v>25300</v>
      </c>
      <c r="D6" s="1" t="s">
        <v>169</v>
      </c>
      <c r="J6" s="17" t="s">
        <v>9</v>
      </c>
      <c r="K6" s="24">
        <v>37800</v>
      </c>
    </row>
    <row r="7" spans="1:11" x14ac:dyDescent="0.25">
      <c r="A7" s="98">
        <v>46111</v>
      </c>
      <c r="B7" s="1" t="s">
        <v>31</v>
      </c>
      <c r="C7" s="61">
        <v>12500</v>
      </c>
      <c r="D7" s="1" t="s">
        <v>190</v>
      </c>
      <c r="J7" s="17" t="s">
        <v>11</v>
      </c>
      <c r="K7" s="24">
        <v>37800</v>
      </c>
    </row>
    <row r="8" spans="1:11" x14ac:dyDescent="0.25">
      <c r="A8" s="98">
        <v>46170</v>
      </c>
      <c r="B8" s="1" t="s">
        <v>28</v>
      </c>
      <c r="C8" s="61">
        <v>25300</v>
      </c>
      <c r="D8" s="1" t="s">
        <v>169</v>
      </c>
      <c r="J8" s="17" t="s">
        <v>13</v>
      </c>
      <c r="K8" s="24">
        <v>270796</v>
      </c>
    </row>
    <row r="9" spans="1:11" x14ac:dyDescent="0.25">
      <c r="A9" s="98">
        <v>46111</v>
      </c>
      <c r="B9" s="1" t="s">
        <v>28</v>
      </c>
      <c r="C9" s="61">
        <v>12500</v>
      </c>
      <c r="D9" s="1" t="s">
        <v>190</v>
      </c>
      <c r="J9" s="17" t="s">
        <v>189</v>
      </c>
      <c r="K9" s="24">
        <v>25300</v>
      </c>
    </row>
    <row r="10" spans="1:11" x14ac:dyDescent="0.25">
      <c r="A10" s="98">
        <v>46170</v>
      </c>
      <c r="B10" s="1" t="s">
        <v>27</v>
      </c>
      <c r="C10" s="61">
        <v>25300</v>
      </c>
      <c r="D10" s="1" t="s">
        <v>169</v>
      </c>
      <c r="J10" s="17" t="s">
        <v>14</v>
      </c>
      <c r="K10" s="24">
        <v>37800</v>
      </c>
    </row>
    <row r="11" spans="1:11" x14ac:dyDescent="0.25">
      <c r="A11" s="98">
        <v>46111</v>
      </c>
      <c r="B11" s="1" t="s">
        <v>27</v>
      </c>
      <c r="C11" s="61">
        <v>12500</v>
      </c>
      <c r="D11" s="1" t="s">
        <v>190</v>
      </c>
      <c r="J11" s="17" t="s">
        <v>15</v>
      </c>
      <c r="K11" s="24">
        <v>37800</v>
      </c>
    </row>
    <row r="12" spans="1:11" x14ac:dyDescent="0.25">
      <c r="A12" s="98">
        <v>46170</v>
      </c>
      <c r="B12" s="1" t="s">
        <v>26</v>
      </c>
      <c r="C12" s="61">
        <v>25300</v>
      </c>
      <c r="D12" s="1" t="s">
        <v>169</v>
      </c>
      <c r="J12" s="17" t="s">
        <v>17</v>
      </c>
      <c r="K12" s="24">
        <v>37800</v>
      </c>
    </row>
    <row r="13" spans="1:11" x14ac:dyDescent="0.25">
      <c r="A13" s="98">
        <v>46111</v>
      </c>
      <c r="B13" s="1" t="s">
        <v>26</v>
      </c>
      <c r="C13" s="61">
        <v>12500</v>
      </c>
      <c r="D13" s="1" t="s">
        <v>190</v>
      </c>
      <c r="J13" s="17" t="s">
        <v>19</v>
      </c>
      <c r="K13" s="24">
        <v>37800</v>
      </c>
    </row>
    <row r="14" spans="1:11" x14ac:dyDescent="0.25">
      <c r="A14" s="98">
        <v>46170</v>
      </c>
      <c r="B14" s="1" t="s">
        <v>25</v>
      </c>
      <c r="C14" s="61">
        <v>25300</v>
      </c>
      <c r="D14" s="1" t="s">
        <v>169</v>
      </c>
      <c r="J14" s="17" t="s">
        <v>21</v>
      </c>
      <c r="K14" s="24">
        <v>37800</v>
      </c>
    </row>
    <row r="15" spans="1:11" x14ac:dyDescent="0.25">
      <c r="A15" s="98">
        <v>46111</v>
      </c>
      <c r="B15" s="1" t="s">
        <v>25</v>
      </c>
      <c r="C15" s="61">
        <v>12500</v>
      </c>
      <c r="D15" s="1" t="s">
        <v>190</v>
      </c>
      <c r="J15" s="17" t="s">
        <v>23</v>
      </c>
      <c r="K15" s="24">
        <v>37800</v>
      </c>
    </row>
    <row r="16" spans="1:11" x14ac:dyDescent="0.25">
      <c r="A16" s="98">
        <v>46170</v>
      </c>
      <c r="B16" s="1" t="s">
        <v>24</v>
      </c>
      <c r="C16" s="61">
        <v>25300</v>
      </c>
      <c r="D16" s="1" t="s">
        <v>169</v>
      </c>
      <c r="J16" s="17" t="s">
        <v>24</v>
      </c>
      <c r="K16" s="24">
        <v>37800</v>
      </c>
    </row>
    <row r="17" spans="1:11" x14ac:dyDescent="0.25">
      <c r="A17" s="98">
        <v>46111</v>
      </c>
      <c r="B17" s="1" t="s">
        <v>24</v>
      </c>
      <c r="C17" s="61">
        <v>12500</v>
      </c>
      <c r="D17" s="1" t="s">
        <v>190</v>
      </c>
      <c r="J17" s="17" t="s">
        <v>25</v>
      </c>
      <c r="K17" s="24">
        <v>37800</v>
      </c>
    </row>
    <row r="18" spans="1:11" x14ac:dyDescent="0.25">
      <c r="A18" s="98">
        <v>46170</v>
      </c>
      <c r="B18" s="1" t="s">
        <v>23</v>
      </c>
      <c r="C18" s="61">
        <v>25300</v>
      </c>
      <c r="D18" s="1" t="s">
        <v>169</v>
      </c>
      <c r="J18" s="17" t="s">
        <v>26</v>
      </c>
      <c r="K18" s="24">
        <v>37800</v>
      </c>
    </row>
    <row r="19" spans="1:11" x14ac:dyDescent="0.25">
      <c r="A19" s="98">
        <v>46111</v>
      </c>
      <c r="B19" s="1" t="s">
        <v>23</v>
      </c>
      <c r="C19" s="61">
        <v>12500</v>
      </c>
      <c r="D19" s="1" t="s">
        <v>190</v>
      </c>
      <c r="J19" s="17" t="s">
        <v>27</v>
      </c>
      <c r="K19" s="24">
        <v>37800</v>
      </c>
    </row>
    <row r="20" spans="1:11" x14ac:dyDescent="0.25">
      <c r="A20" s="98">
        <v>46170</v>
      </c>
      <c r="B20" s="1" t="s">
        <v>21</v>
      </c>
      <c r="C20" s="61">
        <v>25300</v>
      </c>
      <c r="D20" s="1" t="s">
        <v>169</v>
      </c>
      <c r="J20" s="17" t="s">
        <v>28</v>
      </c>
      <c r="K20" s="24">
        <v>37800</v>
      </c>
    </row>
    <row r="21" spans="1:11" x14ac:dyDescent="0.25">
      <c r="A21" s="98">
        <v>46111</v>
      </c>
      <c r="B21" s="1" t="s">
        <v>21</v>
      </c>
      <c r="C21" s="61">
        <v>12500</v>
      </c>
      <c r="D21" s="1" t="s">
        <v>190</v>
      </c>
      <c r="J21" s="17" t="s">
        <v>31</v>
      </c>
      <c r="K21" s="24">
        <v>37800</v>
      </c>
    </row>
    <row r="22" spans="1:11" x14ac:dyDescent="0.25">
      <c r="A22" s="98">
        <v>46170</v>
      </c>
      <c r="B22" s="1" t="s">
        <v>19</v>
      </c>
      <c r="C22" s="61">
        <v>25300</v>
      </c>
      <c r="D22" s="1" t="s">
        <v>169</v>
      </c>
      <c r="J22" s="17" t="s">
        <v>32</v>
      </c>
      <c r="K22" s="24">
        <v>102674</v>
      </c>
    </row>
    <row r="23" spans="1:11" x14ac:dyDescent="0.25">
      <c r="A23" s="98">
        <v>46111</v>
      </c>
      <c r="B23" s="1" t="s">
        <v>19</v>
      </c>
      <c r="C23" s="61">
        <v>12500</v>
      </c>
      <c r="D23" s="1" t="s">
        <v>190</v>
      </c>
      <c r="J23" s="17" t="s">
        <v>33</v>
      </c>
      <c r="K23" s="24">
        <v>37800</v>
      </c>
    </row>
    <row r="24" spans="1:11" x14ac:dyDescent="0.25">
      <c r="A24" s="98">
        <v>46170</v>
      </c>
      <c r="B24" s="1" t="s">
        <v>17</v>
      </c>
      <c r="C24" s="61">
        <v>25300</v>
      </c>
      <c r="D24" s="1" t="s">
        <v>169</v>
      </c>
      <c r="J24" s="17" t="s">
        <v>12</v>
      </c>
      <c r="K24" s="24">
        <v>1349768</v>
      </c>
    </row>
    <row r="25" spans="1:11" x14ac:dyDescent="0.25">
      <c r="A25" s="98">
        <v>46111</v>
      </c>
      <c r="B25" s="1" t="s">
        <v>17</v>
      </c>
      <c r="C25" s="61">
        <v>12500</v>
      </c>
      <c r="D25" s="1" t="s">
        <v>190</v>
      </c>
    </row>
    <row r="26" spans="1:11" x14ac:dyDescent="0.25">
      <c r="A26" s="98">
        <v>46170</v>
      </c>
      <c r="B26" s="1" t="s">
        <v>15</v>
      </c>
      <c r="C26" s="61">
        <v>25300</v>
      </c>
      <c r="D26" s="1" t="s">
        <v>169</v>
      </c>
    </row>
    <row r="27" spans="1:11" x14ac:dyDescent="0.25">
      <c r="A27" s="98">
        <v>46111</v>
      </c>
      <c r="B27" s="1" t="s">
        <v>15</v>
      </c>
      <c r="C27" s="61">
        <v>12500</v>
      </c>
      <c r="D27" s="1" t="s">
        <v>190</v>
      </c>
    </row>
    <row r="28" spans="1:11" x14ac:dyDescent="0.25">
      <c r="A28" s="98">
        <v>46170</v>
      </c>
      <c r="B28" s="1" t="s">
        <v>14</v>
      </c>
      <c r="C28" s="61">
        <v>25300</v>
      </c>
      <c r="D28" s="1" t="s">
        <v>169</v>
      </c>
    </row>
    <row r="29" spans="1:11" x14ac:dyDescent="0.25">
      <c r="A29" s="98">
        <v>46111</v>
      </c>
      <c r="B29" s="1" t="s">
        <v>14</v>
      </c>
      <c r="C29" s="61">
        <v>12500</v>
      </c>
      <c r="D29" s="1" t="s">
        <v>190</v>
      </c>
    </row>
    <row r="30" spans="1:11" x14ac:dyDescent="0.25">
      <c r="A30" s="98">
        <v>46170</v>
      </c>
      <c r="B30" s="1" t="s">
        <v>189</v>
      </c>
      <c r="C30" s="61">
        <v>25300</v>
      </c>
      <c r="D30" s="1" t="s">
        <v>169</v>
      </c>
    </row>
    <row r="31" spans="1:11" x14ac:dyDescent="0.25">
      <c r="A31" s="98">
        <v>46170</v>
      </c>
      <c r="B31" s="1" t="s">
        <v>13</v>
      </c>
      <c r="C31" s="61">
        <v>25300</v>
      </c>
      <c r="D31" s="1" t="s">
        <v>169</v>
      </c>
    </row>
    <row r="32" spans="1:11" x14ac:dyDescent="0.25">
      <c r="A32" s="98">
        <v>46111</v>
      </c>
      <c r="B32" s="1" t="s">
        <v>13</v>
      </c>
      <c r="C32" s="61">
        <v>232996</v>
      </c>
      <c r="D32" s="1" t="s">
        <v>98</v>
      </c>
    </row>
    <row r="33" spans="1:4" x14ac:dyDescent="0.25">
      <c r="A33" s="98">
        <v>46111</v>
      </c>
      <c r="B33" s="1" t="s">
        <v>13</v>
      </c>
      <c r="C33" s="61">
        <v>12500</v>
      </c>
      <c r="D33" s="1" t="s">
        <v>190</v>
      </c>
    </row>
    <row r="34" spans="1:4" x14ac:dyDescent="0.25">
      <c r="A34" s="98">
        <v>46170</v>
      </c>
      <c r="B34" s="1" t="s">
        <v>11</v>
      </c>
      <c r="C34" s="61">
        <v>25300</v>
      </c>
      <c r="D34" s="1" t="s">
        <v>169</v>
      </c>
    </row>
    <row r="35" spans="1:4" x14ac:dyDescent="0.25">
      <c r="A35" s="98">
        <v>46111</v>
      </c>
      <c r="B35" s="1" t="s">
        <v>11</v>
      </c>
      <c r="C35" s="61">
        <v>12500</v>
      </c>
      <c r="D35" s="1" t="s">
        <v>190</v>
      </c>
    </row>
    <row r="36" spans="1:4" x14ac:dyDescent="0.25">
      <c r="A36" s="98">
        <v>46170</v>
      </c>
      <c r="B36" s="1" t="s">
        <v>9</v>
      </c>
      <c r="C36" s="61">
        <v>25300</v>
      </c>
      <c r="D36" s="1" t="s">
        <v>169</v>
      </c>
    </row>
    <row r="37" spans="1:4" x14ac:dyDescent="0.25">
      <c r="A37" s="98">
        <v>46111</v>
      </c>
      <c r="B37" s="1" t="s">
        <v>9</v>
      </c>
      <c r="C37" s="61">
        <v>12500</v>
      </c>
      <c r="D37" s="1" t="s">
        <v>190</v>
      </c>
    </row>
    <row r="38" spans="1:4" x14ac:dyDescent="0.25">
      <c r="A38" s="98">
        <v>46170</v>
      </c>
      <c r="B38" s="1" t="s">
        <v>7</v>
      </c>
      <c r="C38" s="61">
        <v>25300</v>
      </c>
      <c r="D38" s="1" t="s">
        <v>169</v>
      </c>
    </row>
    <row r="39" spans="1:4" x14ac:dyDescent="0.25">
      <c r="A39" s="98">
        <v>46111</v>
      </c>
      <c r="B39" s="1" t="s">
        <v>7</v>
      </c>
      <c r="C39" s="61">
        <v>82799</v>
      </c>
      <c r="D39" s="1" t="s">
        <v>98</v>
      </c>
    </row>
    <row r="40" spans="1:4" x14ac:dyDescent="0.25">
      <c r="A40" s="98">
        <v>46111</v>
      </c>
      <c r="B40" s="1" t="s">
        <v>7</v>
      </c>
      <c r="C40" s="61">
        <v>12500</v>
      </c>
      <c r="D40" s="1" t="s">
        <v>190</v>
      </c>
    </row>
    <row r="41" spans="1:4" x14ac:dyDescent="0.25">
      <c r="A41" s="98">
        <v>46170</v>
      </c>
      <c r="B41" s="1" t="s">
        <v>5</v>
      </c>
      <c r="C41" s="61">
        <v>25300</v>
      </c>
      <c r="D41" s="1" t="s">
        <v>169</v>
      </c>
    </row>
    <row r="42" spans="1:4" x14ac:dyDescent="0.25">
      <c r="A42" s="98">
        <v>46111</v>
      </c>
      <c r="B42" s="1" t="s">
        <v>5</v>
      </c>
      <c r="C42" s="61">
        <v>12500</v>
      </c>
      <c r="D42" s="1" t="s">
        <v>190</v>
      </c>
    </row>
    <row r="43" spans="1:4" x14ac:dyDescent="0.25">
      <c r="A43" s="98">
        <v>46111</v>
      </c>
      <c r="B43" s="1" t="s">
        <v>5</v>
      </c>
      <c r="C43" s="61">
        <v>35000</v>
      </c>
      <c r="D43" s="1" t="s">
        <v>191</v>
      </c>
    </row>
    <row r="44" spans="1:4" x14ac:dyDescent="0.25">
      <c r="A44" s="98">
        <v>46111</v>
      </c>
      <c r="B44" s="1" t="s">
        <v>5</v>
      </c>
      <c r="C44" s="61">
        <v>35000</v>
      </c>
      <c r="D44" s="1" t="s">
        <v>191</v>
      </c>
    </row>
    <row r="45" spans="1:4" x14ac:dyDescent="0.25">
      <c r="A45" s="98">
        <v>46170</v>
      </c>
      <c r="B45" s="1" t="s">
        <v>4</v>
      </c>
      <c r="C45" s="61">
        <v>25300</v>
      </c>
      <c r="D45" s="1" t="s">
        <v>169</v>
      </c>
    </row>
    <row r="46" spans="1:4" x14ac:dyDescent="0.25">
      <c r="A46" s="98">
        <v>46111</v>
      </c>
      <c r="B46" s="1" t="s">
        <v>4</v>
      </c>
      <c r="C46" s="61">
        <v>82799</v>
      </c>
      <c r="D46" s="1" t="s">
        <v>98</v>
      </c>
    </row>
    <row r="47" spans="1:4" x14ac:dyDescent="0.25">
      <c r="A47" s="98">
        <v>46111</v>
      </c>
      <c r="B47" s="1" t="s">
        <v>4</v>
      </c>
      <c r="C47" s="61">
        <v>12500</v>
      </c>
      <c r="D47" s="1" t="s">
        <v>190</v>
      </c>
    </row>
    <row r="48" spans="1:4" x14ac:dyDescent="0.25">
      <c r="A48" s="98">
        <v>46111</v>
      </c>
      <c r="B48" s="1" t="s">
        <v>4</v>
      </c>
      <c r="C48" s="61">
        <v>35000</v>
      </c>
      <c r="D48" s="1" t="s">
        <v>191</v>
      </c>
    </row>
    <row r="49" spans="1:4" x14ac:dyDescent="0.25">
      <c r="A49" s="98">
        <v>46183</v>
      </c>
      <c r="B49" s="1" t="s">
        <v>32</v>
      </c>
      <c r="C49" s="61">
        <v>64874</v>
      </c>
      <c r="D49" s="1" t="s">
        <v>210</v>
      </c>
    </row>
    <row r="50" spans="1:4" x14ac:dyDescent="0.25">
      <c r="A50" s="98">
        <v>46197</v>
      </c>
      <c r="B50" s="1" t="s">
        <v>32</v>
      </c>
      <c r="C50" s="61">
        <v>8000</v>
      </c>
      <c r="D50" s="1" t="s">
        <v>100</v>
      </c>
    </row>
    <row r="51" spans="1:4" x14ac:dyDescent="0.25">
      <c r="A51" s="98">
        <v>46197</v>
      </c>
      <c r="B51" s="1" t="s">
        <v>33</v>
      </c>
      <c r="C51" s="61">
        <v>8000</v>
      </c>
      <c r="D51" s="1" t="s">
        <v>100</v>
      </c>
    </row>
    <row r="52" spans="1:4" x14ac:dyDescent="0.25">
      <c r="A52" s="98">
        <v>46197</v>
      </c>
      <c r="B52" s="1" t="s">
        <v>31</v>
      </c>
      <c r="C52" s="61">
        <v>8000</v>
      </c>
      <c r="D52" s="1" t="s">
        <v>100</v>
      </c>
    </row>
    <row r="53" spans="1:4" x14ac:dyDescent="0.25">
      <c r="A53" s="98">
        <v>46197</v>
      </c>
      <c r="B53" s="1" t="s">
        <v>32</v>
      </c>
      <c r="C53" s="61">
        <v>25000</v>
      </c>
      <c r="D53" s="1" t="s">
        <v>212</v>
      </c>
    </row>
    <row r="54" spans="1:4" x14ac:dyDescent="0.25">
      <c r="A54" s="98">
        <v>46197</v>
      </c>
      <c r="B54" s="1" t="s">
        <v>33</v>
      </c>
      <c r="C54" s="61">
        <v>25000</v>
      </c>
      <c r="D54" s="1" t="s">
        <v>212</v>
      </c>
    </row>
    <row r="55" spans="1:4" x14ac:dyDescent="0.25">
      <c r="A55" s="98">
        <v>46197</v>
      </c>
      <c r="B55" s="1" t="s">
        <v>31</v>
      </c>
      <c r="C55" s="61">
        <v>25000</v>
      </c>
      <c r="D55" s="1" t="s">
        <v>212</v>
      </c>
    </row>
  </sheetData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A68643-3062-46F5-81CC-FF43492C6E8E}">
          <x14:formula1>
            <xm:f>DATOS!$C$2:$C$22</xm:f>
          </x14:formula1>
          <xm:sqref>B2:B1048576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4"/>
  <sheetViews>
    <sheetView workbookViewId="0">
      <selection activeCell="B2" sqref="B2:B22"/>
    </sheetView>
  </sheetViews>
  <sheetFormatPr baseColWidth="10" defaultRowHeight="15" x14ac:dyDescent="0.25"/>
  <cols>
    <col min="1" max="1" width="13" bestFit="1" customWidth="1"/>
  </cols>
  <sheetData>
    <row r="1" spans="1:3" x14ac:dyDescent="0.25">
      <c r="A1" s="1" t="s">
        <v>192</v>
      </c>
      <c r="B1" s="1" t="s">
        <v>193</v>
      </c>
      <c r="C1" s="1" t="s">
        <v>187</v>
      </c>
    </row>
    <row r="2" spans="1:3" x14ac:dyDescent="0.25">
      <c r="A2" t="s">
        <v>11</v>
      </c>
      <c r="B2" s="24">
        <v>20314</v>
      </c>
      <c r="C2" t="s">
        <v>169</v>
      </c>
    </row>
    <row r="3" spans="1:3" x14ac:dyDescent="0.25">
      <c r="A3" t="s">
        <v>33</v>
      </c>
      <c r="B3" s="24">
        <v>20314</v>
      </c>
      <c r="C3" t="s">
        <v>169</v>
      </c>
    </row>
    <row r="4" spans="1:3" x14ac:dyDescent="0.25">
      <c r="A4" t="s">
        <v>32</v>
      </c>
      <c r="B4" s="24">
        <v>20314</v>
      </c>
      <c r="C4" t="s">
        <v>169</v>
      </c>
    </row>
    <row r="5" spans="1:3" x14ac:dyDescent="0.25">
      <c r="A5" t="s">
        <v>4</v>
      </c>
      <c r="B5" s="24">
        <v>20314</v>
      </c>
      <c r="C5" t="s">
        <v>169</v>
      </c>
    </row>
    <row r="6" spans="1:3" x14ac:dyDescent="0.25">
      <c r="A6" t="s">
        <v>9</v>
      </c>
      <c r="B6" s="24">
        <v>20314</v>
      </c>
      <c r="C6" t="s">
        <v>169</v>
      </c>
    </row>
    <row r="7" spans="1:3" x14ac:dyDescent="0.25">
      <c r="A7" t="s">
        <v>13</v>
      </c>
      <c r="B7" s="24">
        <v>20314</v>
      </c>
      <c r="C7" t="s">
        <v>169</v>
      </c>
    </row>
    <row r="8" spans="1:3" x14ac:dyDescent="0.25">
      <c r="A8" t="s">
        <v>5</v>
      </c>
      <c r="B8" s="24">
        <v>20314</v>
      </c>
      <c r="C8" t="s">
        <v>169</v>
      </c>
    </row>
    <row r="9" spans="1:3" x14ac:dyDescent="0.25">
      <c r="A9" t="s">
        <v>7</v>
      </c>
      <c r="B9" s="24">
        <v>20314</v>
      </c>
      <c r="C9" t="s">
        <v>169</v>
      </c>
    </row>
    <row r="10" spans="1:3" x14ac:dyDescent="0.25">
      <c r="A10" t="s">
        <v>31</v>
      </c>
      <c r="B10" s="24">
        <v>20314</v>
      </c>
      <c r="C10" t="s">
        <v>169</v>
      </c>
    </row>
    <row r="11" spans="1:3" x14ac:dyDescent="0.25">
      <c r="A11" t="s">
        <v>19</v>
      </c>
      <c r="B11" s="24">
        <v>20314</v>
      </c>
      <c r="C11" t="s">
        <v>169</v>
      </c>
    </row>
    <row r="12" spans="1:3" x14ac:dyDescent="0.25">
      <c r="A12" t="s">
        <v>21</v>
      </c>
      <c r="B12" s="24">
        <v>20314</v>
      </c>
      <c r="C12" t="s">
        <v>169</v>
      </c>
    </row>
    <row r="13" spans="1:3" x14ac:dyDescent="0.25">
      <c r="A13" t="s">
        <v>23</v>
      </c>
      <c r="B13" s="24">
        <v>20314</v>
      </c>
      <c r="C13" t="s">
        <v>169</v>
      </c>
    </row>
    <row r="14" spans="1:3" x14ac:dyDescent="0.25">
      <c r="A14" t="s">
        <v>26</v>
      </c>
      <c r="B14" s="24">
        <v>20314</v>
      </c>
      <c r="C14" t="s">
        <v>169</v>
      </c>
    </row>
    <row r="15" spans="1:3" x14ac:dyDescent="0.25">
      <c r="A15" t="s">
        <v>24</v>
      </c>
      <c r="B15" s="24">
        <v>20314</v>
      </c>
      <c r="C15" t="s">
        <v>169</v>
      </c>
    </row>
    <row r="16" spans="1:3" x14ac:dyDescent="0.25">
      <c r="A16" t="s">
        <v>17</v>
      </c>
      <c r="B16" s="24">
        <v>20314</v>
      </c>
      <c r="C16" t="s">
        <v>169</v>
      </c>
    </row>
    <row r="17" spans="1:3" x14ac:dyDescent="0.25">
      <c r="A17" t="s">
        <v>25</v>
      </c>
      <c r="B17" s="24">
        <v>20314</v>
      </c>
      <c r="C17" t="s">
        <v>169</v>
      </c>
    </row>
    <row r="18" spans="1:3" x14ac:dyDescent="0.25">
      <c r="A18" t="s">
        <v>14</v>
      </c>
      <c r="B18" s="24">
        <v>20314</v>
      </c>
      <c r="C18" t="s">
        <v>169</v>
      </c>
    </row>
    <row r="19" spans="1:3" x14ac:dyDescent="0.25">
      <c r="A19" t="s">
        <v>27</v>
      </c>
      <c r="B19" s="24">
        <v>20314</v>
      </c>
      <c r="C19" t="s">
        <v>169</v>
      </c>
    </row>
    <row r="20" spans="1:3" x14ac:dyDescent="0.25">
      <c r="A20" t="s">
        <v>15</v>
      </c>
      <c r="B20" s="24">
        <v>20314</v>
      </c>
      <c r="C20" t="s">
        <v>169</v>
      </c>
    </row>
    <row r="21" spans="1:3" x14ac:dyDescent="0.25">
      <c r="A21" t="s">
        <v>28</v>
      </c>
      <c r="B21" s="24">
        <v>20314</v>
      </c>
      <c r="C21" t="s">
        <v>169</v>
      </c>
    </row>
    <row r="22" spans="1:3" x14ac:dyDescent="0.25">
      <c r="A22" t="s">
        <v>189</v>
      </c>
      <c r="B22" s="24">
        <v>20314</v>
      </c>
      <c r="C22" t="s">
        <v>169</v>
      </c>
    </row>
    <row r="23" spans="1:3" x14ac:dyDescent="0.25">
      <c r="B23" s="24"/>
    </row>
    <row r="24" spans="1:3" x14ac:dyDescent="0.25">
      <c r="B24" s="24"/>
    </row>
    <row r="25" spans="1:3" x14ac:dyDescent="0.25">
      <c r="B25" s="24"/>
    </row>
    <row r="26" spans="1:3" x14ac:dyDescent="0.25">
      <c r="B26" s="24"/>
    </row>
    <row r="27" spans="1:3" x14ac:dyDescent="0.25">
      <c r="B27" s="24"/>
    </row>
    <row r="28" spans="1:3" x14ac:dyDescent="0.25">
      <c r="B28" s="24"/>
    </row>
    <row r="29" spans="1:3" x14ac:dyDescent="0.25">
      <c r="B29" s="24"/>
    </row>
    <row r="30" spans="1:3" x14ac:dyDescent="0.25">
      <c r="B30" s="24"/>
    </row>
    <row r="31" spans="1:3" x14ac:dyDescent="0.25">
      <c r="B31" s="24"/>
    </row>
    <row r="32" spans="1:3" x14ac:dyDescent="0.25">
      <c r="B32" s="24"/>
    </row>
    <row r="33" spans="2:2" x14ac:dyDescent="0.25">
      <c r="B33" s="24"/>
    </row>
    <row r="34" spans="2:2" x14ac:dyDescent="0.25">
      <c r="B34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topLeftCell="A4" workbookViewId="0">
      <selection activeCell="I4" sqref="I4"/>
    </sheetView>
  </sheetViews>
  <sheetFormatPr baseColWidth="10" defaultRowHeight="15" x14ac:dyDescent="0.25"/>
  <sheetData>
    <row r="1" spans="1:9" x14ac:dyDescent="0.25">
      <c r="A1" t="s">
        <v>23</v>
      </c>
      <c r="B1" t="s">
        <v>22</v>
      </c>
      <c r="C1" t="s">
        <v>23</v>
      </c>
      <c r="D1" t="s">
        <v>20</v>
      </c>
      <c r="I1" t="s">
        <v>39</v>
      </c>
    </row>
    <row r="2" spans="1:9" x14ac:dyDescent="0.25">
      <c r="A2" t="s">
        <v>21</v>
      </c>
      <c r="B2" t="s">
        <v>22</v>
      </c>
      <c r="C2" t="s">
        <v>21</v>
      </c>
      <c r="D2" t="s">
        <v>20</v>
      </c>
      <c r="I2" t="s">
        <v>67</v>
      </c>
    </row>
    <row r="3" spans="1:9" x14ac:dyDescent="0.25">
      <c r="A3" t="s">
        <v>19</v>
      </c>
      <c r="B3" t="s">
        <v>22</v>
      </c>
      <c r="C3" t="s">
        <v>19</v>
      </c>
      <c r="D3" t="s">
        <v>20</v>
      </c>
      <c r="I3" t="s">
        <v>38</v>
      </c>
    </row>
    <row r="4" spans="1:9" x14ac:dyDescent="0.25">
      <c r="A4" t="s">
        <v>29</v>
      </c>
      <c r="B4" t="s">
        <v>22</v>
      </c>
      <c r="C4" t="s">
        <v>29</v>
      </c>
      <c r="D4" t="s">
        <v>20</v>
      </c>
      <c r="I4" t="s">
        <v>40</v>
      </c>
    </row>
    <row r="5" spans="1:9" x14ac:dyDescent="0.25">
      <c r="A5" t="s">
        <v>30</v>
      </c>
      <c r="B5" t="s">
        <v>22</v>
      </c>
      <c r="C5" t="s">
        <v>30</v>
      </c>
      <c r="D5" t="s">
        <v>20</v>
      </c>
    </row>
    <row r="6" spans="1:9" x14ac:dyDescent="0.25">
      <c r="A6" t="s">
        <v>14</v>
      </c>
      <c r="B6" t="s">
        <v>22</v>
      </c>
      <c r="C6" t="s">
        <v>14</v>
      </c>
      <c r="D6" t="s">
        <v>20</v>
      </c>
    </row>
    <row r="7" spans="1:9" x14ac:dyDescent="0.25">
      <c r="A7" t="s">
        <v>17</v>
      </c>
      <c r="B7" t="s">
        <v>22</v>
      </c>
      <c r="C7" t="s">
        <v>17</v>
      </c>
      <c r="D7" t="s">
        <v>20</v>
      </c>
    </row>
    <row r="8" spans="1:9" x14ac:dyDescent="0.25">
      <c r="A8" t="s">
        <v>26</v>
      </c>
      <c r="B8" t="s">
        <v>22</v>
      </c>
      <c r="C8" t="s">
        <v>26</v>
      </c>
      <c r="D8" t="s">
        <v>20</v>
      </c>
    </row>
    <row r="9" spans="1:9" x14ac:dyDescent="0.25">
      <c r="A9" t="s">
        <v>25</v>
      </c>
      <c r="B9" t="s">
        <v>22</v>
      </c>
      <c r="C9" t="s">
        <v>25</v>
      </c>
      <c r="D9" t="s">
        <v>20</v>
      </c>
    </row>
    <row r="10" spans="1:9" x14ac:dyDescent="0.25">
      <c r="A10" t="s">
        <v>24</v>
      </c>
      <c r="B10" t="s">
        <v>22</v>
      </c>
      <c r="C10" t="s">
        <v>24</v>
      </c>
      <c r="D10" t="s">
        <v>20</v>
      </c>
    </row>
    <row r="11" spans="1:9" x14ac:dyDescent="0.25">
      <c r="A11" t="s">
        <v>28</v>
      </c>
      <c r="B11" t="s">
        <v>22</v>
      </c>
      <c r="C11" t="s">
        <v>28</v>
      </c>
      <c r="D11" t="s">
        <v>20</v>
      </c>
    </row>
    <row r="12" spans="1:9" x14ac:dyDescent="0.25">
      <c r="A12" t="s">
        <v>21</v>
      </c>
      <c r="B12" t="s">
        <v>22</v>
      </c>
      <c r="C12" t="s">
        <v>21</v>
      </c>
      <c r="D12" t="s">
        <v>20</v>
      </c>
    </row>
    <row r="13" spans="1:9" x14ac:dyDescent="0.25">
      <c r="A13" t="s">
        <v>23</v>
      </c>
      <c r="B13" t="s">
        <v>22</v>
      </c>
      <c r="C13" t="s">
        <v>23</v>
      </c>
      <c r="D13" t="s">
        <v>20</v>
      </c>
    </row>
    <row r="14" spans="1:9" x14ac:dyDescent="0.25">
      <c r="A14" t="s">
        <v>30</v>
      </c>
      <c r="B14" t="s">
        <v>22</v>
      </c>
      <c r="C14" t="s">
        <v>30</v>
      </c>
      <c r="D14" t="s">
        <v>20</v>
      </c>
    </row>
    <row r="15" spans="1:9" x14ac:dyDescent="0.25">
      <c r="A15" t="s">
        <v>29</v>
      </c>
      <c r="B15" t="s">
        <v>22</v>
      </c>
      <c r="C15" t="s">
        <v>29</v>
      </c>
      <c r="D15" t="s">
        <v>20</v>
      </c>
    </row>
    <row r="16" spans="1:9" x14ac:dyDescent="0.25">
      <c r="A16" t="s">
        <v>121</v>
      </c>
      <c r="B16" t="s">
        <v>16</v>
      </c>
      <c r="C16" t="s">
        <v>4</v>
      </c>
      <c r="D16" t="s">
        <v>20</v>
      </c>
    </row>
    <row r="17" spans="1:4" x14ac:dyDescent="0.25">
      <c r="A17" t="s">
        <v>19</v>
      </c>
      <c r="B17" t="s">
        <v>22</v>
      </c>
      <c r="C17" t="s">
        <v>19</v>
      </c>
      <c r="D17" t="s">
        <v>20</v>
      </c>
    </row>
    <row r="18" spans="1:4" x14ac:dyDescent="0.25">
      <c r="A18" t="s">
        <v>14</v>
      </c>
      <c r="B18" t="s">
        <v>22</v>
      </c>
      <c r="C18" t="s">
        <v>14</v>
      </c>
      <c r="D18" t="s">
        <v>20</v>
      </c>
    </row>
    <row r="19" spans="1:4" x14ac:dyDescent="0.25">
      <c r="A19" t="s">
        <v>26</v>
      </c>
      <c r="B19" t="s">
        <v>22</v>
      </c>
      <c r="C19" t="s">
        <v>26</v>
      </c>
      <c r="D19" t="s">
        <v>20</v>
      </c>
    </row>
    <row r="20" spans="1:4" x14ac:dyDescent="0.25">
      <c r="A20" t="s">
        <v>25</v>
      </c>
      <c r="B20" t="s">
        <v>22</v>
      </c>
      <c r="C20" t="s">
        <v>25</v>
      </c>
      <c r="D20" t="s">
        <v>20</v>
      </c>
    </row>
    <row r="21" spans="1:4" x14ac:dyDescent="0.25">
      <c r="A21" t="s">
        <v>131</v>
      </c>
      <c r="B21" t="s">
        <v>16</v>
      </c>
      <c r="C21" t="s">
        <v>5</v>
      </c>
      <c r="D21" t="s">
        <v>20</v>
      </c>
    </row>
    <row r="22" spans="1:4" x14ac:dyDescent="0.25">
      <c r="A22" t="s">
        <v>109</v>
      </c>
      <c r="B22" t="s">
        <v>16</v>
      </c>
      <c r="C22" t="s">
        <v>11</v>
      </c>
      <c r="D22" t="s">
        <v>20</v>
      </c>
    </row>
    <row r="23" spans="1:4" x14ac:dyDescent="0.25">
      <c r="A23" t="s">
        <v>17</v>
      </c>
      <c r="B23" t="s">
        <v>22</v>
      </c>
      <c r="C23" t="s">
        <v>17</v>
      </c>
      <c r="D23" t="s">
        <v>20</v>
      </c>
    </row>
    <row r="24" spans="1:4" x14ac:dyDescent="0.25">
      <c r="A24" t="s">
        <v>135</v>
      </c>
      <c r="B24" t="s">
        <v>16</v>
      </c>
      <c r="C24" t="s">
        <v>7</v>
      </c>
      <c r="D24" t="s">
        <v>20</v>
      </c>
    </row>
    <row r="25" spans="1:4" x14ac:dyDescent="0.25">
      <c r="A25" t="s">
        <v>24</v>
      </c>
      <c r="B25" t="s">
        <v>22</v>
      </c>
      <c r="C25" t="s">
        <v>24</v>
      </c>
      <c r="D25" t="s">
        <v>20</v>
      </c>
    </row>
    <row r="26" spans="1:4" x14ac:dyDescent="0.25">
      <c r="A26" t="s">
        <v>126</v>
      </c>
      <c r="B26" t="s">
        <v>16</v>
      </c>
      <c r="C26" t="s">
        <v>9</v>
      </c>
      <c r="D26" t="s">
        <v>20</v>
      </c>
    </row>
    <row r="27" spans="1:4" x14ac:dyDescent="0.25">
      <c r="A27" t="s">
        <v>114</v>
      </c>
      <c r="B27" t="s">
        <v>16</v>
      </c>
      <c r="C27" t="s">
        <v>33</v>
      </c>
      <c r="D27" t="s">
        <v>18</v>
      </c>
    </row>
    <row r="28" spans="1:4" x14ac:dyDescent="0.25">
      <c r="A28" t="s">
        <v>118</v>
      </c>
      <c r="B28" t="s">
        <v>16</v>
      </c>
      <c r="C28" t="s">
        <v>32</v>
      </c>
      <c r="D28" t="s">
        <v>18</v>
      </c>
    </row>
    <row r="29" spans="1:4" x14ac:dyDescent="0.25">
      <c r="A29" t="s">
        <v>137</v>
      </c>
      <c r="B29" t="s">
        <v>16</v>
      </c>
      <c r="C29" t="s">
        <v>31</v>
      </c>
      <c r="D29" t="s">
        <v>18</v>
      </c>
    </row>
    <row r="30" spans="1:4" x14ac:dyDescent="0.25">
      <c r="A30" t="s">
        <v>128</v>
      </c>
      <c r="B30" t="s">
        <v>16</v>
      </c>
      <c r="C30" t="s">
        <v>13</v>
      </c>
      <c r="D30" t="s">
        <v>20</v>
      </c>
    </row>
    <row r="31" spans="1:4" x14ac:dyDescent="0.25">
      <c r="A31" t="s">
        <v>27</v>
      </c>
      <c r="B31" t="s">
        <v>22</v>
      </c>
      <c r="C31" t="s">
        <v>27</v>
      </c>
      <c r="D31" t="s">
        <v>20</v>
      </c>
    </row>
    <row r="32" spans="1:4" x14ac:dyDescent="0.25">
      <c r="A32" t="s">
        <v>15</v>
      </c>
      <c r="B32" t="s">
        <v>22</v>
      </c>
      <c r="C32" t="s">
        <v>15</v>
      </c>
      <c r="D32" t="s">
        <v>20</v>
      </c>
    </row>
    <row r="33" spans="1:4" x14ac:dyDescent="0.25">
      <c r="A33" t="s">
        <v>162</v>
      </c>
      <c r="B33" t="s">
        <v>16</v>
      </c>
      <c r="C33" t="s">
        <v>189</v>
      </c>
      <c r="D3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CONTROL FLOTA</vt:lpstr>
      <vt:lpstr>DATOS</vt:lpstr>
      <vt:lpstr>GPS</vt:lpstr>
      <vt:lpstr>RESUMEN PETROLEO</vt:lpstr>
      <vt:lpstr>GASTOS Y MANTENCIONES</vt:lpstr>
      <vt:lpstr>FIJOS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Bustamante</dc:creator>
  <cp:lastModifiedBy>Felipe Bustamante</cp:lastModifiedBy>
  <dcterms:created xsi:type="dcterms:W3CDTF">2026-06-03T18:29:13Z</dcterms:created>
  <dcterms:modified xsi:type="dcterms:W3CDTF">2026-07-08T16:02:21Z</dcterms:modified>
</cp:coreProperties>
</file>